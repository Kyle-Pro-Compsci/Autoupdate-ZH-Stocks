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xmlns:r="http://schemas.openxmlformats.org/officeDocument/2006/relationships" name="持仓总表" sheetId="1" state="visible" r:id="rId1"/>
    <sheet xmlns:r="http://schemas.openxmlformats.org/officeDocument/2006/relationships" name="当日交易记录" sheetId="2" state="visible" r:id="rId2"/>
    <sheet xmlns:r="http://schemas.openxmlformats.org/officeDocument/2006/relationships" name="盘中持仓" sheetId="3" state="visible" r:id="rId3"/>
  </sheets>
  <definedNames>
    <definedName name="_xlnm._FilterDatabase" localSheetId="0" hidden="1">'持仓总表'!$A$1:$I$202</definedName>
    <definedName name="_xlnm._FilterDatabase" localSheetId="1" hidden="1">'当日交易记录'!$A$1:$G$201</definedName>
  </definedNames>
  <calcPr calcId="191029" fullCalcOnLoad="1"/>
  <pivotCaches>
    <pivotCache xmlns:r="http://schemas.openxmlformats.org/officeDocument/2006/relationships" cacheId="0" r:id="rId4"/>
    <pivotCache xmlns:r="http://schemas.openxmlformats.org/officeDocument/2006/relationships" cacheId="1" r:id="rId5"/>
  </pivotCaches>
</workbook>
</file>

<file path=xl/styles.xml><?xml version="1.0" encoding="utf-8"?>
<styleSheet xmlns="http://schemas.openxmlformats.org/spreadsheetml/2006/main">
  <numFmts count="1">
    <numFmt numFmtId="164" formatCode="0.00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6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BABA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3" borderId="7" applyAlignment="1">
      <alignment vertical="center"/>
    </xf>
    <xf numFmtId="0" fontId="13" fillId="4" borderId="8" applyAlignment="1">
      <alignment vertical="center"/>
    </xf>
    <xf numFmtId="0" fontId="14" fillId="4" borderId="7" applyAlignment="1">
      <alignment vertical="center"/>
    </xf>
    <xf numFmtId="0" fontId="15" fillId="5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3" pivotButton="0" quotePrefix="0" xfId="0"/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pivotCacheDefinition" Target="/xl/pivotCache/pivotCacheDefinition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pivotSource>
    <name>[短线记录.xlsx]持仓总表!数据透视表4</name>
    <fmtId val="6"/>
  </pivotSource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持仓占比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持仓总表!$L$4</f>
              <strCache>
                <ptCount val="1"/>
                <pt idx="0">
                  <v>求和项:持仓股数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explosion val="0"/>
          <dPt>
            <idx val="0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8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9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0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1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2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3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4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5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6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7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8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9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0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1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2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Lbls>
            <dLbl>
              <idx val="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持仓总表!$K$5:$K$28</f>
              <strCache>
                <ptCount val="23"/>
                <pt idx="0">
                  <v>概伦电子</v>
                </pt>
                <pt idx="1">
                  <v>广立微</v>
                </pt>
                <pt idx="2">
                  <v>国光电气</v>
                </pt>
                <pt idx="3">
                  <v>国芯科技</v>
                </pt>
                <pt idx="4">
                  <v>合锻智能</v>
                </pt>
                <pt idx="5">
                  <v>宏微科技</v>
                </pt>
                <pt idx="6">
                  <v>泓博医药</v>
                </pt>
                <pt idx="7">
                  <v>华润微</v>
                </pt>
                <pt idx="8">
                  <v>金宏气体</v>
                </pt>
                <pt idx="9">
                  <v>联创光电</v>
                </pt>
                <pt idx="10">
                  <v>联芸科技</v>
                </pt>
                <pt idx="11">
                  <v>六九一二</v>
                </pt>
                <pt idx="12">
                  <v>隆基绿能</v>
                </pt>
                <pt idx="13">
                  <v>山东黄金</v>
                </pt>
                <pt idx="14">
                  <v>士兰微</v>
                </pt>
                <pt idx="15">
                  <v>斯达半导</v>
                </pt>
                <pt idx="16">
                  <v>天岳先进</v>
                </pt>
                <pt idx="17">
                  <v>星云股份</v>
                </pt>
                <pt idx="18">
                  <v>中国海防</v>
                </pt>
                <pt idx="19">
                  <v>中芯国际</v>
                </pt>
                <pt idx="20">
                  <v>(blank)</v>
                </pt>
                <pt idx="21">
                  <v>梦洁股份</v>
                </pt>
                <pt idx="22">
                  <v>芯原股份</v>
                </pt>
              </strCache>
            </strRef>
          </cat>
          <val>
            <numRef>
              <f>持仓总表!$L$5:$L$28</f>
              <numCache>
                <formatCode>General</formatCode>
                <ptCount val="23"/>
                <pt idx="0">
                  <v>2500</v>
                </pt>
                <pt idx="1">
                  <v>1300</v>
                </pt>
                <pt idx="2">
                  <v>8300</v>
                </pt>
                <pt idx="3">
                  <v>3400</v>
                </pt>
                <pt idx="4">
                  <v>8800</v>
                </pt>
                <pt idx="5">
                  <v>19240</v>
                </pt>
                <pt idx="6">
                  <v>5400</v>
                </pt>
                <pt idx="7">
                  <v>3948</v>
                </pt>
                <pt idx="8">
                  <v>9881</v>
                </pt>
                <pt idx="9">
                  <v>6800</v>
                </pt>
                <pt idx="10">
                  <v>3600</v>
                </pt>
                <pt idx="11">
                  <v>1600</v>
                </pt>
                <pt idx="12">
                  <v>3500</v>
                </pt>
                <pt idx="13">
                  <v>5500</v>
                </pt>
                <pt idx="14">
                  <v>3000</v>
                </pt>
                <pt idx="15">
                  <v>900</v>
                </pt>
                <pt idx="16">
                  <v>5400</v>
                </pt>
                <pt idx="17">
                  <v>9600</v>
                </pt>
                <pt idx="18">
                  <v>6400</v>
                </pt>
                <pt idx="19">
                  <v>2400</v>
                </pt>
                <pt idx="21">
                  <v>45400</v>
                </pt>
                <pt idx="22">
                  <v>1400</v>
                </pt>
              </numCache>
            </numRef>
          </val>
        </ser>
        <ser>
          <idx val="1"/>
          <order val="1"/>
          <tx>
            <strRef>
              <f>持仓总表!$M$4</f>
              <strCache>
                <ptCount val="1"/>
                <pt idx="0">
                  <v>求和项:持仓市值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explosion val="0"/>
          <dPt>
            <idx val="0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8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9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0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1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2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3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4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5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6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7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8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9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0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1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2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Lbls>
            <dLbl>
              <idx val="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numFmt formatCode="General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持仓总表!$K$5:$K$28</f>
              <strCache>
                <ptCount val="23"/>
                <pt idx="0">
                  <v>概伦电子</v>
                </pt>
                <pt idx="1">
                  <v>广立微</v>
                </pt>
                <pt idx="2">
                  <v>国光电气</v>
                </pt>
                <pt idx="3">
                  <v>国芯科技</v>
                </pt>
                <pt idx="4">
                  <v>合锻智能</v>
                </pt>
                <pt idx="5">
                  <v>宏微科技</v>
                </pt>
                <pt idx="6">
                  <v>泓博医药</v>
                </pt>
                <pt idx="7">
                  <v>华润微</v>
                </pt>
                <pt idx="8">
                  <v>金宏气体</v>
                </pt>
                <pt idx="9">
                  <v>联创光电</v>
                </pt>
                <pt idx="10">
                  <v>联芸科技</v>
                </pt>
                <pt idx="11">
                  <v>六九一二</v>
                </pt>
                <pt idx="12">
                  <v>隆基绿能</v>
                </pt>
                <pt idx="13">
                  <v>山东黄金</v>
                </pt>
                <pt idx="14">
                  <v>士兰微</v>
                </pt>
                <pt idx="15">
                  <v>斯达半导</v>
                </pt>
                <pt idx="16">
                  <v>天岳先进</v>
                </pt>
                <pt idx="17">
                  <v>星云股份</v>
                </pt>
                <pt idx="18">
                  <v>中国海防</v>
                </pt>
                <pt idx="19">
                  <v>中芯国际</v>
                </pt>
                <pt idx="20">
                  <v>(blank)</v>
                </pt>
                <pt idx="21">
                  <v>梦洁股份</v>
                </pt>
                <pt idx="22">
                  <v>芯原股份</v>
                </pt>
              </strCache>
            </strRef>
          </cat>
          <val>
            <numRef>
              <f>持仓总表!$M$5:$M$28</f>
              <numCache>
                <formatCode>General</formatCode>
                <ptCount val="23"/>
                <pt idx="0">
                  <v>90250</v>
                </pt>
                <pt idx="1">
                  <v>91624</v>
                </pt>
                <pt idx="2">
                  <v>744676</v>
                </pt>
                <pt idx="3">
                  <v>99858</v>
                </pt>
                <pt idx="4">
                  <v>186120</v>
                </pt>
                <pt idx="5">
                  <v>444444</v>
                </pt>
                <pt idx="6">
                  <v>176256</v>
                </pt>
                <pt idx="7">
                  <v>191991.24</v>
                </pt>
                <pt idx="8">
                  <v>203746.22</v>
                </pt>
                <pt idx="9">
                  <v>402492</v>
                </pt>
                <pt idx="10">
                  <v>183924</v>
                </pt>
                <pt idx="11">
                  <v>196192</v>
                </pt>
                <pt idx="12">
                  <v>76580</v>
                </pt>
                <pt idx="13">
                  <v>197065</v>
                </pt>
                <pt idx="14">
                  <v>86430</v>
                </pt>
                <pt idx="15">
                  <v>88020</v>
                </pt>
                <pt idx="16">
                  <v>411804</v>
                </pt>
                <pt idx="17">
                  <v>510720</v>
                </pt>
                <pt idx="18">
                  <v>191232</v>
                </pt>
                <pt idx="19">
                  <v>283632</v>
                </pt>
                <pt idx="20">
                  <v>0</v>
                </pt>
                <pt idx="21">
                  <v>196128</v>
                </pt>
                <pt idx="22">
                  <v>213388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33655</colOff>
      <row>28</row>
      <rowOff>24130</rowOff>
    </from>
    <to>
      <col>23</col>
      <colOff>389890</colOff>
      <row>67</row>
      <rowOff>29210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yPC" refreshedDate="45980.7379282407" createdVersion="5" refreshedVersion="5" minRefreshableVersion="3" recordCount="200" r:id="rId1">
  <cacheSource type="worksheet">
    <worksheetSource ref="B1:H201" sheet="持仓总表"/>
  </cacheSource>
  <cacheFields count="7">
    <cacheField name="股票名称" uniqueList="1" numFmtId="0" sqlType="0" hierarchy="0" level="0" databaseField="1">
      <sharedItems count="25" containsBlank="1">
        <s v="国光电气"/>
        <s v="宏微科技"/>
        <s v="天岳先进"/>
        <s v="联创光电"/>
        <s v="广立微"/>
        <s v="华润微"/>
        <s v="金宏气体"/>
        <s v="六九一二"/>
        <s v="中国海防"/>
        <s v="梦洁股份"/>
        <s v="山东黄金"/>
        <s v="斯达半导"/>
        <s v="士兰微"/>
        <s v="泓博医药"/>
        <s v="概伦电子"/>
        <s v="星云股份"/>
        <s v="隆基绿能"/>
        <s v="中芯国际"/>
        <s v="合锻智能"/>
        <s v="联芸科技"/>
        <s v="国芯科技"/>
        <s v="芯原股份"/>
        <m/>
        <s v="福莱新材" u="1"/>
        <s v="山东白银" u="1"/>
      </sharedItems>
    </cacheField>
    <cacheField name="成本" uniqueList="1" numFmtId="0" sqlType="0" hierarchy="0" level="0" databaseField="1">
      <sharedItems count="23" containsBlank="1" containsNumber="1" containsString="0" minValue="0" maxValue="155.4">
        <n v="67.178465060241"/>
        <n v="28.520841995842"/>
        <n v="73.11"/>
        <n v="58.9508602941176"/>
        <n v="77.65000000000001"/>
        <n v="52.3741134751773"/>
        <n v="20.4531929966603"/>
        <n v="127.61"/>
        <n v="30.856284375"/>
        <n v="4.42"/>
        <n v="36.48578"/>
        <n v="107.370411111111"/>
        <n v="33.01"/>
        <n v="34.39"/>
        <n v="40.436444"/>
        <n v="39.3124010416667"/>
        <n v="22.82"/>
        <n v="121.62"/>
        <n v="22.74"/>
        <n v="55.47"/>
        <n v="29.73"/>
        <n v="155.4"/>
        <m/>
      </sharedItems>
    </cacheField>
    <cacheField name="持仓股数" uniqueList="1" numFmtId="0" sqlType="0" hierarchy="0" level="0" databaseField="1">
      <sharedItems count="22" containsBlank="1" containsInteger="1" containsNumber="1" containsString="0" minValue="0" maxValue="45400">
        <n v="8300"/>
        <n v="19240"/>
        <n v="5400"/>
        <n v="6800"/>
        <n v="1300"/>
        <n v="3948"/>
        <n v="9881"/>
        <n v="1600"/>
        <n v="6400"/>
        <n v="45400"/>
        <n v="5500"/>
        <n v="900"/>
        <n v="3000"/>
        <n v="2500"/>
        <n v="9600"/>
        <n v="3500"/>
        <n v="2400"/>
        <n v="8800"/>
        <n v="3600"/>
        <n v="3400"/>
        <n v="1400"/>
        <m/>
      </sharedItems>
    </cacheField>
    <cacheField name="现价 " uniqueList="1" numFmtId="0" sqlType="0" hierarchy="0" level="0" databaseField="1">
      <sharedItems count="23" containsBlank="1" containsNumber="1" containsString="0" minValue="0" maxValue="152.42">
        <n v="89.72"/>
        <n v="23.1"/>
        <n v="76.26000000000001"/>
        <n v="59.19"/>
        <n v="70.48"/>
        <n v="48.63"/>
        <n v="20.62"/>
        <n v="122.62"/>
        <n v="29.88"/>
        <n v="4.32"/>
        <n v="35.83"/>
        <n v="97.8"/>
        <n v="28.81"/>
        <n v="32.64"/>
        <n v="36.1"/>
        <n v="53.2"/>
        <n v="21.88"/>
        <n v="118.18"/>
        <n v="21.15"/>
        <n v="51.09"/>
        <n v="29.37"/>
        <n v="152.42"/>
        <m/>
      </sharedItems>
    </cacheField>
    <cacheField name="盈亏比例" uniqueList="1" numFmtId="0" sqlType="0" hierarchy="0" level="0" databaseField="1">
      <sharedItems count="23" containsBlank="1" containsNumber="1" containsString="0" minValue="-0.190065987414828" maxValue="0.353262547958188">
        <n v="0.335547037574397"/>
        <n v="-0.190065987414828"/>
        <n v="0.0430857611817809"/>
        <n v="0.00405659399522402"/>
        <n v="-0.0923374114616872"/>
        <n v="-0.0714878635024882"/>
        <n v="0.00815554829834828"/>
        <n v="-0.0391035185330303"/>
        <n v="-0.0316397257406337"/>
        <n v="-0.0226244343891403"/>
        <n v="-0.0179735776513479"/>
        <n v="-0.0891345298213226"/>
        <n v="-0.127234171463193"/>
        <n v="-0.0508868857225938"/>
        <n v="-0.107240982911356"/>
        <n v="0.353262547958188"/>
        <n v="-0.0411919368974584"/>
        <n v="-0.0282848215753988"/>
        <n v="-0.0699208443271768"/>
        <n v="-0.0789616008653326"/>
        <n v="-0.012108980827447"/>
        <n v="-0.0191763191763193"/>
        <m/>
      </sharedItems>
    </cacheField>
    <cacheField name="持仓成本" uniqueList="1" numFmtId="0" sqlType="0" hierarchy="0" level="0" databaseField="1">
      <sharedItems count="23" containsBlank="1" containsNumber="1" containsString="0" minValue="0" maxValue="557581.26">
        <n v="557581.26"/>
        <n v="548741"/>
        <n v="394794"/>
        <n v="400865.85"/>
        <n v="100945"/>
        <n v="206773"/>
        <n v="202098"/>
        <n v="204176"/>
        <n v="197480.22"/>
        <n v="200668"/>
        <n v="200671.79"/>
        <n v="96633.36999999989"/>
        <n v="99030"/>
        <n v="185706"/>
        <n v="101091.11"/>
        <n v="377399.05"/>
        <n v="79870"/>
        <n v="291888"/>
        <n v="200112"/>
        <n v="199692"/>
        <n v="101082"/>
        <n v="217560"/>
        <m/>
      </sharedItems>
    </cacheField>
    <cacheField name="持仓市值" uniqueList="1" numFmtId="0" sqlType="0" hierarchy="0" level="0" databaseField="1">
      <sharedItems count="23" containsNumber="1" containsSemiMixedTypes="0" containsString="0" minValue="0" maxValue="744676">
        <n v="744676"/>
        <n v="444444"/>
        <n v="411804"/>
        <n v="402492"/>
        <n v="91624"/>
        <n v="191991.24"/>
        <n v="203746.22"/>
        <n v="196192"/>
        <n v="191232"/>
        <n v="196128"/>
        <n v="197065"/>
        <n v="88020"/>
        <n v="86430"/>
        <n v="176256"/>
        <n v="90250"/>
        <n v="510720"/>
        <n v="76580"/>
        <n v="283632"/>
        <n v="186120"/>
        <n v="183924"/>
        <n v="99858"/>
        <n v="213388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MyPC" refreshedDate="45982.4073148148" createdVersion="5" refreshedVersion="5" minRefreshableVersion="3" recordCount="200" r:id="rId1">
  <cacheSource type="worksheet">
    <worksheetSource ref="B1:H201" sheet="当日交易记录"/>
  </cacheSource>
  <cacheFields count="7">
    <cacheField name="股票名称" uniqueList="1" numFmtId="0" sqlType="0" hierarchy="0" level="0" databaseField="1">
      <sharedItems count="10" containsBlank="1">
        <s v="中芯国际"/>
        <m/>
        <s v="芯原股份" u="1"/>
        <s v="福莱新材" u="1"/>
        <s v="天岳先进" u="1"/>
        <s v="星云股份" u="1"/>
        <s v="山东黄金" u="1"/>
        <s v="联创光电" u="1"/>
        <s v="联芸科技" u="1"/>
        <s v="山东白银" u="1"/>
      </sharedItems>
    </cacheField>
    <cacheField name="成交价格" uniqueList="1" numFmtId="0" sqlType="0" hierarchy="0" level="0" databaseField="1">
      <sharedItems count="2" containsBlank="1" containsNumber="1" containsString="0" minValue="0" maxValue="114.85">
        <n v="114.85"/>
        <m/>
      </sharedItems>
    </cacheField>
    <cacheField name="成交股数" uniqueList="1" numFmtId="0" sqlType="0" hierarchy="0" level="0" databaseField="1">
      <sharedItems count="2" containsBlank="1" containsInteger="1" containsNumber="1" containsString="0" minValue="-800" maxValue="0">
        <n v="-800"/>
        <m/>
      </sharedItems>
    </cacheField>
    <cacheField name="手续费" uniqueList="1" numFmtId="0" sqlType="0" hierarchy="0" level="0" databaseField="1">
      <sharedItems count="2" containsMixedTypes="1" containsNumber="1">
        <n v="22.97"/>
        <s v=""/>
      </sharedItems>
    </cacheField>
    <cacheField name="交易收支" uniqueList="1" numFmtId="0" sqlType="0" hierarchy="0" level="0" databaseField="1">
      <sharedItems count="2" containsMixedTypes="1" containsNumber="1">
        <n v="-91902.97"/>
        <s v=""/>
      </sharedItems>
    </cacheField>
    <cacheField name="当前持仓股数" uniqueList="1" numFmtId="0" sqlType="0" hierarchy="0" level="0" databaseField="1">
      <sharedItems count="2" containsInteger="1" containsMixedTypes="1" containsNumber="1">
        <n v="3200"/>
        <s v=""/>
      </sharedItems>
    </cacheField>
    <cacheField name="交易许可" uniqueList="1" numFmtId="0" sqlType="0" hierarchy="0" level="0" databaseField="1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count="20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  <r>
    <x v="5"/>
    <x v="5"/>
    <x v="5"/>
    <x v="5"/>
    <x v="5"/>
    <x v="5"/>
    <x v="5"/>
  </r>
  <r>
    <x v="6"/>
    <x v="6"/>
    <x v="6"/>
    <x v="6"/>
    <x v="6"/>
    <x v="6"/>
    <x v="6"/>
  </r>
  <r>
    <x v="7"/>
    <x v="7"/>
    <x v="7"/>
    <x v="7"/>
    <x v="7"/>
    <x v="7"/>
    <x v="7"/>
  </r>
  <r>
    <x v="8"/>
    <x v="8"/>
    <x v="8"/>
    <x v="8"/>
    <x v="8"/>
    <x v="8"/>
    <x v="8"/>
  </r>
  <r>
    <x v="9"/>
    <x v="9"/>
    <x v="9"/>
    <x v="9"/>
    <x v="9"/>
    <x v="9"/>
    <x v="9"/>
  </r>
  <r>
    <x v="10"/>
    <x v="10"/>
    <x v="10"/>
    <x v="10"/>
    <x v="10"/>
    <x v="10"/>
    <x v="10"/>
  </r>
  <r>
    <x v="11"/>
    <x v="11"/>
    <x v="11"/>
    <x v="11"/>
    <x v="11"/>
    <x v="11"/>
    <x v="11"/>
  </r>
  <r>
    <x v="12"/>
    <x v="12"/>
    <x v="12"/>
    <x v="12"/>
    <x v="12"/>
    <x v="12"/>
    <x v="12"/>
  </r>
  <r>
    <x v="13"/>
    <x v="13"/>
    <x v="2"/>
    <x v="13"/>
    <x v="13"/>
    <x v="13"/>
    <x v="13"/>
  </r>
  <r>
    <x v="14"/>
    <x v="14"/>
    <x v="13"/>
    <x v="14"/>
    <x v="14"/>
    <x v="14"/>
    <x v="14"/>
  </r>
  <r>
    <x v="15"/>
    <x v="15"/>
    <x v="14"/>
    <x v="15"/>
    <x v="15"/>
    <x v="15"/>
    <x v="15"/>
  </r>
  <r>
    <x v="16"/>
    <x v="16"/>
    <x v="15"/>
    <x v="16"/>
    <x v="16"/>
    <x v="16"/>
    <x v="16"/>
  </r>
  <r>
    <x v="17"/>
    <x v="17"/>
    <x v="16"/>
    <x v="17"/>
    <x v="17"/>
    <x v="17"/>
    <x v="17"/>
  </r>
  <r>
    <x v="18"/>
    <x v="18"/>
    <x v="17"/>
    <x v="18"/>
    <x v="18"/>
    <x v="18"/>
    <x v="18"/>
  </r>
  <r>
    <x v="19"/>
    <x v="19"/>
    <x v="18"/>
    <x v="19"/>
    <x v="19"/>
    <x v="19"/>
    <x v="19"/>
  </r>
  <r>
    <x v="20"/>
    <x v="20"/>
    <x v="19"/>
    <x v="20"/>
    <x v="20"/>
    <x v="20"/>
    <x v="20"/>
  </r>
  <r>
    <x v="21"/>
    <x v="21"/>
    <x v="20"/>
    <x v="21"/>
    <x v="21"/>
    <x v="21"/>
    <x v="21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  <r>
    <x v="22"/>
    <x v="22"/>
    <x v="21"/>
    <x v="22"/>
    <x v="22"/>
    <x v="22"/>
    <x v="22"/>
  </r>
</pivotCacheRecords>
</file>

<file path=xl/pivotCache/pivotCacheRecords2.xml><?xml version="1.0" encoding="utf-8"?>
<pivotCacheRecords xmlns="http://schemas.openxmlformats.org/spreadsheetml/2006/main" count="200">
  <r>
    <x v="0"/>
    <x v="0"/>
    <x v="0"/>
    <x v="0"/>
    <x v="0"/>
    <x v="0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  <r>
    <x v="1"/>
    <x v="1"/>
    <x v="1"/>
    <x v="1"/>
    <x v="1"/>
    <x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4" cacheId="0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8" fieldListSortAscending="0" mdxSubqueries="0" autoFormatId="1" applyNumberFormats="0" applyBorderFormats="0" applyFontFormats="0" applyPatternFormats="0" applyAlignmentFormats="0" applyWidthHeightFormats="1" r:id="rId1">
  <location ref="K4:M28" firstHeaderRow="0" firstDataRow="1" firstDataCol="1"/>
  <pivotFields count="7">
    <pivotField axis="axisRow" showDropDowns="1" compact="0" outline="1" subtotalTop="1" dragToRow="1" dragToCol="1" dragToPage="1" dragToData="1" dragOff="1" showAll="0" topAutoShow="1" itemPageCount="10" sortType="manual" defaultSubtotal="1">
      <items count="26">
        <item t="data" sd="1" m="1" x="23"/>
        <item t="data" sd="1" x="14"/>
        <item t="data" sd="1" x="4"/>
        <item t="data" sd="1" x="0"/>
        <item t="data" sd="1" x="20"/>
        <item t="data" sd="1" x="18"/>
        <item t="data" sd="1" x="1"/>
        <item t="data" sd="1" x="13"/>
        <item t="data" sd="1" x="5"/>
        <item t="data" sd="1" x="6"/>
        <item t="data" sd="1" x="3"/>
        <item t="data" sd="1" x="19"/>
        <item t="data" sd="1" x="7"/>
        <item t="data" sd="1" x="16"/>
        <item t="data" sd="1" m="1" x="24"/>
        <item t="data" sd="1" x="10"/>
        <item t="data" sd="1" x="12"/>
        <item t="data" sd="1" x="11"/>
        <item t="data" sd="1" x="2"/>
        <item t="data" sd="1" x="15"/>
        <item t="data" sd="1" x="8"/>
        <item t="data" sd="1" x="17"/>
        <item t="data" sd="1" x="22"/>
        <item t="data" sd="1" x="9"/>
        <item t="data" sd="1" x="21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23">
        <item t="data" sd="1" x="11"/>
        <item t="data" sd="1" x="4"/>
        <item t="data" sd="1" x="7"/>
        <item t="data" sd="1" x="16"/>
        <item t="data" sd="1" x="13"/>
        <item t="data" sd="1" x="12"/>
        <item t="data" sd="1" x="19"/>
        <item t="data" sd="1" x="15"/>
        <item t="data" sd="1" x="18"/>
        <item t="data" sd="1" x="5"/>
        <item t="data" sd="1" x="10"/>
        <item t="data" sd="1" x="8"/>
        <item t="data" sd="1" x="3"/>
        <item t="data" sd="1" x="0"/>
        <item t="data" sd="1" x="17"/>
        <item t="data" sd="1" x="14"/>
        <item t="data" sd="1" x="6"/>
        <item t="data" sd="1" x="1"/>
        <item t="data" sd="1" x="21"/>
        <item t="data" sd="1" x="2"/>
        <item t="data" sd="1" x="9"/>
        <item t="data" sd="1" x="2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24">
        <item t="data" sd="1" x="22"/>
        <item t="data" sd="1" x="16"/>
        <item t="data" sd="1" x="12"/>
        <item t="data" sd="1" x="11"/>
        <item t="data" sd="1" x="14"/>
        <item t="data" sd="1" x="4"/>
        <item t="data" sd="1" x="20"/>
        <item t="data" sd="1" x="19"/>
        <item t="data" sd="1" x="18"/>
        <item t="data" sd="1" x="8"/>
        <item t="data" sd="1" x="5"/>
        <item t="data" sd="1" x="7"/>
        <item t="data" sd="1" x="10"/>
        <item t="data" sd="1" x="6"/>
        <item t="data" sd="1" x="17"/>
        <item t="data" sd="1" x="3"/>
        <item t="data" sd="1" x="1"/>
        <item t="data" sd="1" x="15"/>
        <item t="data" sd="1" x="0"/>
        <item t="data" sd="1" x="2"/>
        <item t="data" sd="1" x="9"/>
        <item t="data" sd="1" x="13"/>
        <item t="data" sd="1" x="21"/>
        <item t="default" sd="1"/>
      </items>
    </pivotField>
  </pivotFields>
  <rowFields count="1">
    <field x="0"/>
  </rowFields>
  <rowItems count="24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求和项:持仓股数" fld="2" subtotal="sum" showDataAs="normal" baseField="0" baseItem="0"/>
    <dataField name="求和项:持仓市值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数据透视表3" cacheId="1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J2:L5" firstHeaderRow="0" firstDataRow="1" firstDataCol="1"/>
  <pivotFields count="7">
    <pivotField axis="axisRow" showDropDowns="1" compact="0" outline="1" subtotalTop="1" dragToRow="1" dragToCol="1" multipleItemSelectionAllowed="1" dragToPage="1" dragToData="1" dragOff="1" showAll="0" topAutoShow="1" itemPageCount="10" sortType="manual" defaultSubtotal="1">
      <items count="11">
        <item t="data" sd="1" m="1" x="3"/>
        <item t="data" sd="1" m="1" x="7"/>
        <item t="data" sd="1" m="1" x="8"/>
        <item t="data" sd="1" m="1" x="6"/>
        <item t="data" sd="1" m="1" x="4"/>
        <item t="data" sd="1" m="1" x="5"/>
        <item t="data" sd="1" x="1"/>
        <item t="data" sd="1" m="1" x="9"/>
        <item t="data" sd="1" m="1" x="2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">
    <i t="data" r="0" i="0">
      <x v="6"/>
    </i>
    <i t="data" r="0" i="0">
      <x v="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总卖出股数" fld="2" subtotal="sum" showDataAs="normal" baseField="0" baseItem="0"/>
    <dataField name="总盈亏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202"/>
  <sheetViews>
    <sheetView tabSelected="1" zoomScale="85" zoomScaleNormal="85" workbookViewId="0">
      <selection activeCell="N3" sqref="N3"/>
    </sheetView>
  </sheetViews>
  <sheetFormatPr baseColWidth="8" defaultColWidth="9" defaultRowHeight="15" outlineLevelCol="0"/>
  <cols>
    <col width="5.37142857142857" customWidth="1" style="5" min="1" max="1"/>
    <col width="13.8190476190476" customWidth="1" style="5" min="2" max="2"/>
    <col width="13.8285714285714" customWidth="1" style="23" min="3" max="3"/>
    <col width="12.047619047619" customWidth="1" style="1" min="4" max="4"/>
    <col width="11.9333333333333" customWidth="1" style="23" min="5" max="5"/>
    <col width="11.5047619047619" customWidth="1" style="23" min="6" max="6"/>
    <col width="19.1047619047619" customWidth="1" style="23" min="7" max="7"/>
    <col width="16.9047619047619" customWidth="1" style="23" min="8" max="8"/>
    <col width="17.9333333333333" customWidth="1" style="23" min="9" max="9"/>
    <col width="9" customWidth="1" style="1" min="10" max="10"/>
    <col width="11.3714285714286" customWidth="1" style="23" min="11" max="11"/>
    <col width="16.1238095238095" customWidth="1" style="8" min="12" max="13"/>
  </cols>
  <sheetData>
    <row r="1" ht="21" customFormat="1" customHeight="1" s="1">
      <c r="A1" s="14" t="inlineStr">
        <is>
          <t>序号</t>
        </is>
      </c>
      <c r="B1" s="14" t="inlineStr">
        <is>
          <t>股票名称</t>
        </is>
      </c>
      <c r="C1" s="24" t="inlineStr">
        <is>
          <t>成本价</t>
        </is>
      </c>
      <c r="D1" s="14" t="inlineStr">
        <is>
          <t>持仓股数</t>
        </is>
      </c>
      <c r="E1" s="24" t="inlineStr">
        <is>
          <t xml:space="preserve">现价 </t>
        </is>
      </c>
      <c r="F1" s="24" t="inlineStr">
        <is>
          <t>盈亏比例</t>
        </is>
      </c>
      <c r="G1" s="24" t="inlineStr">
        <is>
          <t>持仓成本</t>
        </is>
      </c>
      <c r="H1" s="24" t="inlineStr">
        <is>
          <t>持仓市值</t>
        </is>
      </c>
      <c r="I1" s="24" t="inlineStr">
        <is>
          <t>盈亏额</t>
        </is>
      </c>
      <c r="J1" s="5" t="n"/>
      <c r="K1" s="25" t="inlineStr">
        <is>
          <t>资金总额</t>
        </is>
      </c>
      <c r="L1" s="3" t="inlineStr">
        <is>
          <t>资金余额</t>
        </is>
      </c>
    </row>
    <row r="2" ht="21" customHeight="1" s="8">
      <c r="A2" s="14" t="n">
        <v>1</v>
      </c>
      <c r="B2" s="14" t="inlineStr">
        <is>
          <t>国光电气</t>
        </is>
      </c>
      <c r="C2" s="26" t="n">
        <v>67.178465060241</v>
      </c>
      <c r="D2" s="17" t="n">
        <v>8300</v>
      </c>
      <c r="E2" s="26" t="n">
        <v>97.2</v>
      </c>
      <c r="F2" s="18">
        <f>I2/G2</f>
        <v/>
      </c>
      <c r="G2" s="26">
        <f>C2*D2</f>
        <v/>
      </c>
      <c r="H2" s="26">
        <f>E2*D2</f>
        <v/>
      </c>
      <c r="I2" s="26">
        <f>H2-C2*D2</f>
        <v/>
      </c>
      <c r="K2" s="27" t="n">
        <v>5000000</v>
      </c>
      <c r="L2" s="19">
        <f t="array" ref="L2">K2-SUMPRODUCT(C2:C201,D2:D201)</f>
        <v/>
      </c>
      <c r="M2" s="0">
        <f>IF(L2&lt;=0,"余额不足","")</f>
        <v/>
      </c>
    </row>
    <row r="3" ht="21" customHeight="1" s="8">
      <c r="A3" s="14" t="n">
        <v>2</v>
      </c>
      <c r="B3" s="14" t="inlineStr">
        <is>
          <t>宏微科技</t>
        </is>
      </c>
      <c r="C3" s="26" t="n">
        <v>28.520841995842</v>
      </c>
      <c r="D3" s="17" t="n">
        <v>19240</v>
      </c>
      <c r="E3" s="26" t="n">
        <v>28.01</v>
      </c>
      <c r="F3" s="18">
        <f>I3/G3</f>
        <v/>
      </c>
      <c r="G3" s="26">
        <f>C3*D3</f>
        <v/>
      </c>
      <c r="H3" s="26">
        <f>E3*D3</f>
        <v/>
      </c>
      <c r="I3" s="26">
        <f>H3-C3*D3</f>
        <v/>
      </c>
    </row>
    <row r="4" ht="21" customHeight="1" s="8">
      <c r="A4" s="14" t="n">
        <v>3</v>
      </c>
      <c r="B4" s="14" t="inlineStr">
        <is>
          <t>天岳先进</t>
        </is>
      </c>
      <c r="C4" s="26" t="n">
        <v>71.27375000000001</v>
      </c>
      <c r="D4" s="17" t="n">
        <v>4100</v>
      </c>
      <c r="E4" s="26" t="n">
        <v>85.75</v>
      </c>
      <c r="F4" s="18">
        <f>I4/G4</f>
        <v/>
      </c>
      <c r="G4" s="26">
        <f>C4*D4</f>
        <v/>
      </c>
      <c r="H4" s="26">
        <f>E4*D4</f>
        <v/>
      </c>
      <c r="I4" s="26">
        <f>H4-C4*D4</f>
        <v/>
      </c>
      <c r="K4" s="0" t="inlineStr">
        <is>
          <t>股票名称</t>
        </is>
      </c>
      <c r="L4" s="0" t="inlineStr">
        <is>
          <t>求和项:持仓股数</t>
        </is>
      </c>
      <c r="M4" s="0" t="inlineStr">
        <is>
          <t>求和项:持仓市值</t>
        </is>
      </c>
    </row>
    <row r="5" ht="21" customHeight="1" s="8">
      <c r="A5" s="14" t="n">
        <v>4</v>
      </c>
      <c r="B5" s="14" t="inlineStr">
        <is>
          <t>联创光电</t>
        </is>
      </c>
      <c r="C5" s="26" t="n">
        <v>58.9508602941176</v>
      </c>
      <c r="D5" s="17" t="n">
        <v>6800</v>
      </c>
      <c r="E5" s="26" t="n">
        <v>58.57</v>
      </c>
      <c r="F5" s="18">
        <f>I5/G5</f>
        <v/>
      </c>
      <c r="G5" s="26">
        <f>C5*D5</f>
        <v/>
      </c>
      <c r="H5" s="26">
        <f>E5*D5</f>
        <v/>
      </c>
      <c r="I5" s="26">
        <f>H5-C5*D5</f>
        <v/>
      </c>
      <c r="K5" s="0" t="inlineStr">
        <is>
          <t>概伦电子</t>
        </is>
      </c>
      <c r="L5" s="0" t="n">
        <v>2500</v>
      </c>
      <c r="M5" s="0" t="n">
        <v>90250</v>
      </c>
    </row>
    <row r="6" ht="21" customHeight="1" s="8">
      <c r="A6" s="14" t="n">
        <v>5</v>
      </c>
      <c r="B6" s="14" t="inlineStr">
        <is>
          <t>广立微</t>
        </is>
      </c>
      <c r="C6" s="26" t="n">
        <v>77.65000000000001</v>
      </c>
      <c r="D6" s="17" t="n">
        <v>1300</v>
      </c>
      <c r="E6" s="26" t="n">
        <v>70.90000000000001</v>
      </c>
      <c r="F6" s="18">
        <f>I6/G6</f>
        <v/>
      </c>
      <c r="G6" s="26">
        <f>C6*D6</f>
        <v/>
      </c>
      <c r="H6" s="26">
        <f>E6*D6</f>
        <v/>
      </c>
      <c r="I6" s="26">
        <f>H6-C6*D6</f>
        <v/>
      </c>
      <c r="K6" s="0" t="inlineStr">
        <is>
          <t>广立微</t>
        </is>
      </c>
      <c r="L6" s="0" t="n">
        <v>1300</v>
      </c>
      <c r="M6" s="0" t="n">
        <v>91624</v>
      </c>
    </row>
    <row r="7" ht="21" customHeight="1" s="8">
      <c r="A7" s="14" t="n">
        <v>6</v>
      </c>
      <c r="B7" s="14" t="inlineStr">
        <is>
          <t>华润微</t>
        </is>
      </c>
      <c r="C7" s="26" t="n">
        <v>52.3741134751773</v>
      </c>
      <c r="D7" s="17" t="n">
        <v>3948</v>
      </c>
      <c r="E7" s="26" t="n">
        <v>55.64</v>
      </c>
      <c r="F7" s="18">
        <f>I7/G7</f>
        <v/>
      </c>
      <c r="G7" s="26">
        <f>C7*D7</f>
        <v/>
      </c>
      <c r="H7" s="26">
        <f>E7*D7</f>
        <v/>
      </c>
      <c r="I7" s="26">
        <f>H7-C7*D7</f>
        <v/>
      </c>
      <c r="K7" s="0" t="inlineStr">
        <is>
          <t>国光电气</t>
        </is>
      </c>
      <c r="L7" s="0" t="n">
        <v>8300</v>
      </c>
      <c r="M7" s="0" t="n">
        <v>744676</v>
      </c>
    </row>
    <row r="8" ht="21" customHeight="1" s="8">
      <c r="A8" s="14" t="n">
        <v>7</v>
      </c>
      <c r="B8" s="14" t="inlineStr">
        <is>
          <t>金宏气体</t>
        </is>
      </c>
      <c r="C8" s="26" t="n">
        <v>20.4531929966603</v>
      </c>
      <c r="D8" s="17" t="n">
        <v>9881</v>
      </c>
      <c r="E8" s="26" t="n">
        <v>19.85</v>
      </c>
      <c r="F8" s="18">
        <f>I8/G8</f>
        <v/>
      </c>
      <c r="G8" s="26">
        <f>C8*D8</f>
        <v/>
      </c>
      <c r="H8" s="26">
        <f>E8*D8</f>
        <v/>
      </c>
      <c r="I8" s="26">
        <f>H8-C8*D8</f>
        <v/>
      </c>
      <c r="K8" s="0" t="inlineStr">
        <is>
          <t>国芯科技</t>
        </is>
      </c>
      <c r="L8" s="0" t="n">
        <v>3400</v>
      </c>
      <c r="M8" s="0" t="n">
        <v>99858</v>
      </c>
    </row>
    <row r="9" ht="21" customHeight="1" s="8">
      <c r="A9" s="14" t="n">
        <v>8</v>
      </c>
      <c r="B9" s="14" t="inlineStr">
        <is>
          <t>六九一二</t>
        </is>
      </c>
      <c r="C9" s="26" t="n">
        <v>127.61</v>
      </c>
      <c r="D9" s="17" t="n">
        <v>1600</v>
      </c>
      <c r="E9" s="26" t="n">
        <v>116.5</v>
      </c>
      <c r="F9" s="18">
        <f>I9/G9</f>
        <v/>
      </c>
      <c r="G9" s="26">
        <f>C9*D9</f>
        <v/>
      </c>
      <c r="H9" s="26">
        <f>E9*D9</f>
        <v/>
      </c>
      <c r="I9" s="26">
        <f>H9-C9*D9</f>
        <v/>
      </c>
      <c r="K9" s="0" t="inlineStr">
        <is>
          <t>合锻智能</t>
        </is>
      </c>
      <c r="L9" s="0" t="n">
        <v>8800</v>
      </c>
      <c r="M9" s="0" t="n">
        <v>186120</v>
      </c>
    </row>
    <row r="10" ht="21" customHeight="1" s="8">
      <c r="A10" s="14" t="n">
        <v>9</v>
      </c>
      <c r="B10" s="14" t="inlineStr">
        <is>
          <t>中国海防</t>
        </is>
      </c>
      <c r="C10" s="26" t="n">
        <v>30.856284375</v>
      </c>
      <c r="D10" s="17" t="n">
        <v>6400</v>
      </c>
      <c r="E10" s="26" t="n">
        <v>26.72</v>
      </c>
      <c r="F10" s="18">
        <f>I10/G10</f>
        <v/>
      </c>
      <c r="G10" s="26">
        <f>C10*D10</f>
        <v/>
      </c>
      <c r="H10" s="26">
        <f>E10*D10</f>
        <v/>
      </c>
      <c r="I10" s="26">
        <f>H10-C10*D10</f>
        <v/>
      </c>
      <c r="K10" s="0" t="inlineStr">
        <is>
          <t>宏微科技</t>
        </is>
      </c>
      <c r="L10" s="0" t="n">
        <v>19240</v>
      </c>
      <c r="M10" s="0" t="n">
        <v>444444</v>
      </c>
    </row>
    <row r="11" ht="21" customHeight="1" s="8">
      <c r="A11" s="14" t="n">
        <v>10</v>
      </c>
      <c r="B11" s="14" t="inlineStr">
        <is>
          <t>梦洁股份</t>
        </is>
      </c>
      <c r="C11" s="26" t="n">
        <v>4.42</v>
      </c>
      <c r="D11" s="17" t="n">
        <v>45400</v>
      </c>
      <c r="E11" s="26" t="n">
        <v>4.17</v>
      </c>
      <c r="F11" s="18">
        <f>I11/G11</f>
        <v/>
      </c>
      <c r="G11" s="26">
        <f>C11*D11</f>
        <v/>
      </c>
      <c r="H11" s="26">
        <f>E11*D11</f>
        <v/>
      </c>
      <c r="I11" s="26">
        <f>H11-C11*D11</f>
        <v/>
      </c>
      <c r="K11" s="0" t="inlineStr">
        <is>
          <t>泓博医药</t>
        </is>
      </c>
      <c r="L11" s="0" t="n">
        <v>5400</v>
      </c>
      <c r="M11" s="0" t="n">
        <v>176256</v>
      </c>
    </row>
    <row r="12" ht="21" customHeight="1" s="8">
      <c r="A12" s="14" t="n">
        <v>11</v>
      </c>
      <c r="B12" s="14" t="inlineStr">
        <is>
          <t>山东黄金</t>
        </is>
      </c>
      <c r="C12" s="26" t="n">
        <v>36.48578</v>
      </c>
      <c r="D12" s="17" t="n">
        <v>5500</v>
      </c>
      <c r="E12" s="26" t="n">
        <v>37.83</v>
      </c>
      <c r="F12" s="18">
        <f>I12/G12</f>
        <v/>
      </c>
      <c r="G12" s="26">
        <f>C12*D12</f>
        <v/>
      </c>
      <c r="H12" s="26">
        <f>E12*D12</f>
        <v/>
      </c>
      <c r="I12" s="26">
        <f>H12-C12*D12</f>
        <v/>
      </c>
      <c r="K12" s="0" t="inlineStr">
        <is>
          <t>华润微</t>
        </is>
      </c>
      <c r="L12" s="0" t="n">
        <v>3948</v>
      </c>
      <c r="M12" s="0" t="n">
        <v>191991.24</v>
      </c>
    </row>
    <row r="13" ht="21" customHeight="1" s="8">
      <c r="A13" s="14" t="n">
        <v>12</v>
      </c>
      <c r="B13" s="14" t="inlineStr">
        <is>
          <t>斯达半导</t>
        </is>
      </c>
      <c r="C13" s="26" t="n">
        <v>107.370411111111</v>
      </c>
      <c r="D13" s="17" t="n">
        <v>900</v>
      </c>
      <c r="E13" s="26" t="n">
        <v>95.13</v>
      </c>
      <c r="F13" s="18">
        <f>I13/G13</f>
        <v/>
      </c>
      <c r="G13" s="26">
        <f>C13*D13</f>
        <v/>
      </c>
      <c r="H13" s="26">
        <f>E13*D13</f>
        <v/>
      </c>
      <c r="I13" s="26">
        <f>H13-C13*D13</f>
        <v/>
      </c>
      <c r="K13" s="0" t="inlineStr">
        <is>
          <t>金宏气体</t>
        </is>
      </c>
      <c r="L13" s="0" t="n">
        <v>9881</v>
      </c>
      <c r="M13" s="0" t="n">
        <v>203746.22</v>
      </c>
    </row>
    <row r="14" ht="21" customHeight="1" s="8">
      <c r="A14" s="14" t="n">
        <v>13</v>
      </c>
      <c r="B14" s="14" t="inlineStr">
        <is>
          <t>士兰微</t>
        </is>
      </c>
      <c r="C14" s="26" t="n">
        <v>33.01</v>
      </c>
      <c r="D14" s="17" t="n">
        <v>3000</v>
      </c>
      <c r="E14" s="26" t="n">
        <v>28.14</v>
      </c>
      <c r="F14" s="18">
        <f>I14/G14</f>
        <v/>
      </c>
      <c r="G14" s="26">
        <f>C14*D14</f>
        <v/>
      </c>
      <c r="H14" s="26">
        <f>E14*D14</f>
        <v/>
      </c>
      <c r="I14" s="26">
        <f>H14-C14*D14</f>
        <v/>
      </c>
      <c r="K14" s="0" t="inlineStr">
        <is>
          <t>联创光电</t>
        </is>
      </c>
      <c r="L14" s="0" t="n">
        <v>6800</v>
      </c>
      <c r="M14" s="0" t="n">
        <v>402492</v>
      </c>
    </row>
    <row r="15" ht="21" customHeight="1" s="8">
      <c r="A15" s="14" t="n">
        <v>14</v>
      </c>
      <c r="B15" s="14" t="inlineStr">
        <is>
          <t>泓博医药</t>
        </is>
      </c>
      <c r="C15" s="26" t="n">
        <v>34.39</v>
      </c>
      <c r="D15" s="17" t="n">
        <v>5400</v>
      </c>
      <c r="E15" s="26" t="n">
        <v>30.65</v>
      </c>
      <c r="F15" s="18">
        <f>I15/G15</f>
        <v/>
      </c>
      <c r="G15" s="26">
        <f>C15*D15</f>
        <v/>
      </c>
      <c r="H15" s="26">
        <f>E15*D15</f>
        <v/>
      </c>
      <c r="I15" s="26">
        <f>H15-C15*D15</f>
        <v/>
      </c>
      <c r="K15" s="0" t="inlineStr">
        <is>
          <t>联芸科技</t>
        </is>
      </c>
      <c r="L15" s="0" t="n">
        <v>3600</v>
      </c>
      <c r="M15" s="0" t="n">
        <v>183924</v>
      </c>
    </row>
    <row r="16" ht="21" customHeight="1" s="8">
      <c r="A16" s="14" t="n">
        <v>15</v>
      </c>
      <c r="B16" s="14" t="inlineStr">
        <is>
          <t>概伦电子</t>
        </is>
      </c>
      <c r="C16" s="26" t="n">
        <v>40.436444</v>
      </c>
      <c r="D16" s="17" t="n">
        <v>2500</v>
      </c>
      <c r="E16" s="26" t="n">
        <v>35.23</v>
      </c>
      <c r="F16" s="18">
        <f>I16/G16</f>
        <v/>
      </c>
      <c r="G16" s="26">
        <f>C16*D16</f>
        <v/>
      </c>
      <c r="H16" s="26">
        <f>E16*D16</f>
        <v/>
      </c>
      <c r="I16" s="26">
        <f>H16-C16*D16</f>
        <v/>
      </c>
      <c r="K16" s="0" t="inlineStr">
        <is>
          <t>六九一二</t>
        </is>
      </c>
      <c r="L16" s="0" t="n">
        <v>1600</v>
      </c>
      <c r="M16" s="0" t="n">
        <v>196192</v>
      </c>
    </row>
    <row r="17" ht="21" customHeight="1" s="8">
      <c r="A17" s="14" t="n">
        <v>16</v>
      </c>
      <c r="B17" s="14" t="inlineStr">
        <is>
          <t>星云股份</t>
        </is>
      </c>
      <c r="C17" s="26" t="n">
        <v>40.8200079059829</v>
      </c>
      <c r="D17" s="17" t="n">
        <v>11700</v>
      </c>
      <c r="E17" s="26" t="n">
        <v>53.82</v>
      </c>
      <c r="F17" s="18">
        <f>I17/G17</f>
        <v/>
      </c>
      <c r="G17" s="26">
        <f>C17*D17</f>
        <v/>
      </c>
      <c r="H17" s="26">
        <f>E17*D17</f>
        <v/>
      </c>
      <c r="I17" s="26">
        <f>H17-C17*D17</f>
        <v/>
      </c>
      <c r="K17" s="0" t="inlineStr">
        <is>
          <t>隆基绿能</t>
        </is>
      </c>
      <c r="L17" s="0" t="n">
        <v>3500</v>
      </c>
      <c r="M17" s="0" t="n">
        <v>76580</v>
      </c>
    </row>
    <row r="18" ht="21" customHeight="1" s="8">
      <c r="A18" s="14" t="n">
        <v>17</v>
      </c>
      <c r="B18" s="14" t="inlineStr">
        <is>
          <t>隆基绿能</t>
        </is>
      </c>
      <c r="C18" s="26" t="n">
        <v>22.82</v>
      </c>
      <c r="D18" s="17" t="n">
        <v>3500</v>
      </c>
      <c r="E18" s="26" t="n">
        <v>18.13</v>
      </c>
      <c r="F18" s="18">
        <f>I18/G18</f>
        <v/>
      </c>
      <c r="G18" s="26">
        <f>C18*D18</f>
        <v/>
      </c>
      <c r="H18" s="26">
        <f>E18*D18</f>
        <v/>
      </c>
      <c r="I18" s="26">
        <f>H18-C18*D18</f>
        <v/>
      </c>
      <c r="K18" s="0" t="inlineStr">
        <is>
          <t>山东黄金</t>
        </is>
      </c>
      <c r="L18" s="0" t="n">
        <v>5500</v>
      </c>
      <c r="M18" s="0" t="n">
        <v>197065</v>
      </c>
    </row>
    <row r="19" ht="21" customHeight="1" s="8">
      <c r="A19" s="14" t="n">
        <v>18</v>
      </c>
      <c r="B19" s="14" t="inlineStr">
        <is>
          <t>中芯国际</t>
        </is>
      </c>
      <c r="C19" s="26" t="n">
        <v>121.62</v>
      </c>
      <c r="D19" s="17" t="n">
        <v>2400</v>
      </c>
      <c r="E19" s="26" t="n">
        <v>117.7</v>
      </c>
      <c r="F19" s="18">
        <f>I19/G19</f>
        <v/>
      </c>
      <c r="G19" s="26">
        <f>C19*D19</f>
        <v/>
      </c>
      <c r="H19" s="26">
        <f>E19*D19</f>
        <v/>
      </c>
      <c r="I19" s="26">
        <f>H19-C19*D19</f>
        <v/>
      </c>
      <c r="K19" s="0" t="inlineStr">
        <is>
          <t>士兰微</t>
        </is>
      </c>
      <c r="L19" s="0" t="n">
        <v>3000</v>
      </c>
      <c r="M19" s="0" t="n">
        <v>86430</v>
      </c>
    </row>
    <row r="20" ht="21" customHeight="1" s="8">
      <c r="A20" s="14" t="n">
        <v>19</v>
      </c>
      <c r="B20" s="14" t="inlineStr">
        <is>
          <t>合锻智能</t>
        </is>
      </c>
      <c r="C20" s="26" t="n">
        <v>22.74</v>
      </c>
      <c r="D20" s="17" t="n">
        <v>8800</v>
      </c>
      <c r="E20" s="26" t="n">
        <v>22.63</v>
      </c>
      <c r="F20" s="18">
        <f>I20/G20</f>
        <v/>
      </c>
      <c r="G20" s="26">
        <f>C20*D20</f>
        <v/>
      </c>
      <c r="H20" s="26">
        <f>E20*D20</f>
        <v/>
      </c>
      <c r="I20" s="26">
        <f>H20-C20*D20</f>
        <v/>
      </c>
      <c r="K20" s="0" t="inlineStr">
        <is>
          <t>斯达半导</t>
        </is>
      </c>
      <c r="L20" s="0" t="n">
        <v>900</v>
      </c>
      <c r="M20" s="0" t="n">
        <v>88020</v>
      </c>
    </row>
    <row r="21" ht="21" customHeight="1" s="8">
      <c r="A21" s="14" t="n">
        <v>20</v>
      </c>
      <c r="B21" s="14" t="inlineStr">
        <is>
          <t>联芸科技</t>
        </is>
      </c>
      <c r="C21" s="26" t="n">
        <v>55.47</v>
      </c>
      <c r="D21" s="17" t="n">
        <v>3600</v>
      </c>
      <c r="E21" s="26" t="n">
        <v>44.92</v>
      </c>
      <c r="F21" s="18">
        <f>I21/G21</f>
        <v/>
      </c>
      <c r="G21" s="26">
        <f>C21*D21</f>
        <v/>
      </c>
      <c r="H21" s="26">
        <f>E21*D21</f>
        <v/>
      </c>
      <c r="I21" s="26">
        <f>H21-C21*D21</f>
        <v/>
      </c>
      <c r="K21" s="0" t="inlineStr">
        <is>
          <t>天岳先进</t>
        </is>
      </c>
      <c r="L21" s="0" t="n">
        <v>5400</v>
      </c>
      <c r="M21" s="0" t="n">
        <v>411804</v>
      </c>
    </row>
    <row r="22" ht="21" customHeight="1" s="8">
      <c r="A22" s="14" t="n">
        <v>21</v>
      </c>
      <c r="B22" s="14" t="inlineStr">
        <is>
          <t>国芯科技</t>
        </is>
      </c>
      <c r="C22" s="26" t="n">
        <v>29.73</v>
      </c>
      <c r="D22" s="17" t="n">
        <v>3400</v>
      </c>
      <c r="E22" s="26" t="n">
        <v>29.15</v>
      </c>
      <c r="F22" s="18">
        <f>I22/G22</f>
        <v/>
      </c>
      <c r="G22" s="26">
        <f>C22*D22</f>
        <v/>
      </c>
      <c r="H22" s="26">
        <f>E22*D22</f>
        <v/>
      </c>
      <c r="I22" s="26">
        <f>H22-C22*D22</f>
        <v/>
      </c>
      <c r="K22" s="0" t="inlineStr">
        <is>
          <t>星云股份</t>
        </is>
      </c>
      <c r="L22" s="0" t="n">
        <v>9600</v>
      </c>
      <c r="M22" s="0" t="n">
        <v>510720</v>
      </c>
    </row>
    <row r="23" ht="21" customHeight="1" s="8">
      <c r="A23" s="14" t="n">
        <v>22</v>
      </c>
      <c r="B23" s="14" t="inlineStr">
        <is>
          <t>芯原股份</t>
        </is>
      </c>
      <c r="C23" s="26" t="n">
        <v>155.4</v>
      </c>
      <c r="D23" s="17" t="n">
        <v>1400</v>
      </c>
      <c r="E23" s="26" t="n">
        <v>127.6</v>
      </c>
      <c r="F23" s="18">
        <f>I23/G23</f>
        <v/>
      </c>
      <c r="G23" s="26">
        <f>C23*D23</f>
        <v/>
      </c>
      <c r="H23" s="26">
        <f>E23*D23</f>
        <v/>
      </c>
      <c r="I23" s="26">
        <f>H23-C23*D23</f>
        <v/>
      </c>
      <c r="K23" s="0" t="inlineStr">
        <is>
          <t>中国海防</t>
        </is>
      </c>
      <c r="L23" s="0" t="n">
        <v>6400</v>
      </c>
      <c r="M23" s="0" t="n">
        <v>191232</v>
      </c>
    </row>
    <row r="24" ht="21" customHeight="1" s="8">
      <c r="A24" s="14" t="n">
        <v>23</v>
      </c>
      <c r="B24" s="14" t="n"/>
      <c r="C24" s="26" t="n"/>
      <c r="D24" s="17" t="n"/>
      <c r="E24" s="26" t="n"/>
      <c r="F24" s="26" t="n"/>
      <c r="G24" s="26" t="n"/>
      <c r="H24" s="26">
        <f>E24*D24</f>
        <v/>
      </c>
      <c r="I24" s="26">
        <f>H24-C24*D24</f>
        <v/>
      </c>
      <c r="K24" s="0" t="inlineStr">
        <is>
          <t>中芯国际</t>
        </is>
      </c>
      <c r="L24" s="0" t="n">
        <v>2400</v>
      </c>
      <c r="M24" s="0" t="n">
        <v>283632</v>
      </c>
    </row>
    <row r="25" ht="21" customHeight="1" s="8">
      <c r="A25" s="14" t="n">
        <v>24</v>
      </c>
      <c r="B25" s="14" t="n"/>
      <c r="C25" s="26" t="n"/>
      <c r="D25" s="17" t="n"/>
      <c r="E25" s="26" t="n"/>
      <c r="F25" s="26" t="n"/>
      <c r="G25" s="26" t="n"/>
      <c r="H25" s="26">
        <f>E25*D25</f>
        <v/>
      </c>
      <c r="I25" s="26">
        <f>H25-C25*D25</f>
        <v/>
      </c>
      <c r="K25" s="0" t="inlineStr">
        <is>
          <t>(空白)</t>
        </is>
      </c>
      <c r="M25" s="0" t="n">
        <v>0</v>
      </c>
    </row>
    <row r="26" ht="21" customHeight="1" s="8">
      <c r="A26" s="14" t="n">
        <v>25</v>
      </c>
      <c r="B26" s="14" t="n"/>
      <c r="C26" s="26" t="n"/>
      <c r="D26" s="17" t="n"/>
      <c r="E26" s="26" t="n"/>
      <c r="F26" s="26" t="n"/>
      <c r="G26" s="26" t="n"/>
      <c r="H26" s="26">
        <f>E26*D26</f>
        <v/>
      </c>
      <c r="I26" s="26">
        <f>H26-C26*D26</f>
        <v/>
      </c>
      <c r="K26" s="0" t="inlineStr">
        <is>
          <t>梦洁股份</t>
        </is>
      </c>
      <c r="L26" s="0" t="n">
        <v>45400</v>
      </c>
      <c r="M26" s="0" t="n">
        <v>196128</v>
      </c>
    </row>
    <row r="27" hidden="1" ht="21" customHeight="1" s="8">
      <c r="A27" s="14" t="n">
        <v>26</v>
      </c>
      <c r="B27" s="14" t="n"/>
      <c r="C27" s="26" t="n"/>
      <c r="D27" s="17" t="n"/>
      <c r="E27" s="26" t="n"/>
      <c r="F27" s="26" t="n"/>
      <c r="G27" s="26" t="n"/>
      <c r="H27" s="26">
        <f>E27*D27</f>
        <v/>
      </c>
      <c r="I27" s="26">
        <f>H27-C27*D27</f>
        <v/>
      </c>
      <c r="K27" s="0" t="inlineStr">
        <is>
          <t>芯原股份</t>
        </is>
      </c>
      <c r="L27" s="0" t="n">
        <v>1400</v>
      </c>
      <c r="M27" s="0" t="n">
        <v>213388</v>
      </c>
    </row>
    <row r="28" hidden="1" ht="21" customHeight="1" s="8">
      <c r="A28" s="14" t="n">
        <v>27</v>
      </c>
      <c r="B28" s="14" t="n"/>
      <c r="C28" s="26" t="n"/>
      <c r="D28" s="17" t="n"/>
      <c r="E28" s="26" t="n"/>
      <c r="F28" s="26" t="n"/>
      <c r="G28" s="26" t="n"/>
      <c r="H28" s="26">
        <f>E28*D28</f>
        <v/>
      </c>
      <c r="I28" s="26">
        <f>H28-C28*D28</f>
        <v/>
      </c>
      <c r="K28" s="0" t="inlineStr">
        <is>
          <t>总计</t>
        </is>
      </c>
      <c r="L28" s="0" t="n">
        <v>158269</v>
      </c>
      <c r="M28" s="0" t="n">
        <v>5266572.46</v>
      </c>
    </row>
    <row r="29" hidden="1" ht="21" customHeight="1" s="8">
      <c r="A29" s="14" t="n">
        <v>28</v>
      </c>
      <c r="B29" s="14" t="n"/>
      <c r="C29" s="26" t="n"/>
      <c r="D29" s="17" t="n"/>
      <c r="E29" s="26" t="n"/>
      <c r="F29" s="26" t="n"/>
      <c r="G29" s="26" t="n"/>
      <c r="H29" s="26">
        <f>E29*D29</f>
        <v/>
      </c>
      <c r="I29" s="26">
        <f>H29-C29*D29</f>
        <v/>
      </c>
    </row>
    <row r="30" hidden="1" ht="21" customHeight="1" s="8">
      <c r="A30" s="14" t="n">
        <v>29</v>
      </c>
      <c r="B30" s="14" t="n"/>
      <c r="C30" s="26" t="n"/>
      <c r="D30" s="17" t="n"/>
      <c r="E30" s="26" t="n"/>
      <c r="F30" s="26" t="n"/>
      <c r="G30" s="26" t="n"/>
      <c r="H30" s="26">
        <f>E30*D30</f>
        <v/>
      </c>
      <c r="I30" s="26">
        <f>H30-C30*D30</f>
        <v/>
      </c>
    </row>
    <row r="31" hidden="1" ht="21" customHeight="1" s="8">
      <c r="A31" s="14" t="n">
        <v>30</v>
      </c>
      <c r="B31" s="14" t="n"/>
      <c r="C31" s="26" t="n"/>
      <c r="D31" s="17" t="n"/>
      <c r="E31" s="26" t="n"/>
      <c r="F31" s="26" t="n"/>
      <c r="G31" s="26" t="n"/>
      <c r="H31" s="26">
        <f>E31*D31</f>
        <v/>
      </c>
      <c r="I31" s="26">
        <f>H31-C31*D31</f>
        <v/>
      </c>
    </row>
    <row r="32" hidden="1" ht="21" customHeight="1" s="8">
      <c r="A32" s="14" t="n">
        <v>31</v>
      </c>
      <c r="B32" s="14" t="n"/>
      <c r="C32" s="26" t="n"/>
      <c r="D32" s="17" t="n"/>
      <c r="E32" s="26" t="n"/>
      <c r="F32" s="26" t="n"/>
      <c r="G32" s="26" t="n"/>
      <c r="H32" s="26">
        <f>E32*D32</f>
        <v/>
      </c>
      <c r="I32" s="26">
        <f>H32-C32*D32</f>
        <v/>
      </c>
    </row>
    <row r="33" hidden="1" ht="21" customHeight="1" s="8">
      <c r="A33" s="14" t="n">
        <v>32</v>
      </c>
      <c r="B33" s="14" t="n"/>
      <c r="C33" s="26" t="n"/>
      <c r="D33" s="17" t="n"/>
      <c r="E33" s="26" t="n"/>
      <c r="F33" s="26" t="n"/>
      <c r="G33" s="26" t="n"/>
      <c r="H33" s="26">
        <f>E33*D33</f>
        <v/>
      </c>
      <c r="I33" s="26">
        <f>H33-C33*D33</f>
        <v/>
      </c>
    </row>
    <row r="34" hidden="1" ht="21" customHeight="1" s="8">
      <c r="A34" s="14" t="n">
        <v>33</v>
      </c>
      <c r="B34" s="14" t="n"/>
      <c r="C34" s="26" t="n"/>
      <c r="D34" s="17" t="n"/>
      <c r="E34" s="26" t="n"/>
      <c r="F34" s="26" t="n"/>
      <c r="G34" s="26" t="n"/>
      <c r="H34" s="26">
        <f>E34*D34</f>
        <v/>
      </c>
      <c r="I34" s="26">
        <f>H34-C34*D34</f>
        <v/>
      </c>
    </row>
    <row r="35" hidden="1" ht="21" customHeight="1" s="8">
      <c r="A35" s="14" t="n">
        <v>34</v>
      </c>
      <c r="B35" s="14" t="n"/>
      <c r="C35" s="26" t="n"/>
      <c r="D35" s="17" t="n"/>
      <c r="E35" s="26" t="n"/>
      <c r="F35" s="26" t="n"/>
      <c r="G35" s="26" t="n"/>
      <c r="H35" s="26">
        <f>E35*D35</f>
        <v/>
      </c>
      <c r="I35" s="26">
        <f>H35-C35*D35</f>
        <v/>
      </c>
    </row>
    <row r="36" hidden="1" ht="21" customHeight="1" s="8">
      <c r="A36" s="14" t="n">
        <v>35</v>
      </c>
      <c r="B36" s="14" t="n"/>
      <c r="C36" s="26" t="n"/>
      <c r="D36" s="17" t="n"/>
      <c r="E36" s="26" t="n"/>
      <c r="F36" s="26" t="n"/>
      <c r="G36" s="26" t="n"/>
      <c r="H36" s="26">
        <f>E36*D36</f>
        <v/>
      </c>
      <c r="I36" s="26">
        <f>H36-C36*D36</f>
        <v/>
      </c>
    </row>
    <row r="37" hidden="1" ht="21" customHeight="1" s="8">
      <c r="A37" s="14" t="n">
        <v>36</v>
      </c>
      <c r="B37" s="14" t="n"/>
      <c r="C37" s="26" t="n"/>
      <c r="D37" s="17" t="n"/>
      <c r="E37" s="26" t="n"/>
      <c r="F37" s="26" t="n"/>
      <c r="G37" s="26" t="n"/>
      <c r="H37" s="26">
        <f>E37*D37</f>
        <v/>
      </c>
      <c r="I37" s="26">
        <f>H37-C37*D37</f>
        <v/>
      </c>
    </row>
    <row r="38" hidden="1" ht="21" customHeight="1" s="8">
      <c r="A38" s="14" t="n">
        <v>37</v>
      </c>
      <c r="B38" s="14" t="n"/>
      <c r="C38" s="26" t="n"/>
      <c r="D38" s="17" t="n"/>
      <c r="E38" s="26" t="n"/>
      <c r="F38" s="26" t="n"/>
      <c r="G38" s="26" t="n"/>
      <c r="H38" s="26">
        <f>E38*D38</f>
        <v/>
      </c>
      <c r="I38" s="26">
        <f>H38-C38*D38</f>
        <v/>
      </c>
    </row>
    <row r="39" hidden="1" ht="21" customHeight="1" s="8">
      <c r="A39" s="14" t="n">
        <v>38</v>
      </c>
      <c r="B39" s="14" t="n"/>
      <c r="C39" s="26" t="n"/>
      <c r="D39" s="17" t="n"/>
      <c r="E39" s="26" t="n"/>
      <c r="F39" s="26" t="n"/>
      <c r="G39" s="26" t="n"/>
      <c r="H39" s="26">
        <f>E39*D39</f>
        <v/>
      </c>
      <c r="I39" s="26">
        <f>H39-C39*D39</f>
        <v/>
      </c>
    </row>
    <row r="40" hidden="1" ht="21" customHeight="1" s="8">
      <c r="A40" s="14" t="n">
        <v>39</v>
      </c>
      <c r="B40" s="14" t="n"/>
      <c r="C40" s="26" t="n"/>
      <c r="D40" s="17" t="n"/>
      <c r="E40" s="26" t="n"/>
      <c r="F40" s="26" t="n"/>
      <c r="G40" s="26" t="n"/>
      <c r="H40" s="26">
        <f>E40*D40</f>
        <v/>
      </c>
      <c r="I40" s="26">
        <f>H40-C40*D40</f>
        <v/>
      </c>
    </row>
    <row r="41" hidden="1" ht="21" customHeight="1" s="8">
      <c r="A41" s="14" t="n">
        <v>40</v>
      </c>
      <c r="B41" s="14" t="n"/>
      <c r="C41" s="26" t="n"/>
      <c r="D41" s="17" t="n"/>
      <c r="E41" s="26" t="n"/>
      <c r="F41" s="26" t="n"/>
      <c r="G41" s="26" t="n"/>
      <c r="H41" s="26">
        <f>E41*D41</f>
        <v/>
      </c>
      <c r="I41" s="26">
        <f>H41-C41*D41</f>
        <v/>
      </c>
    </row>
    <row r="42" hidden="1" ht="21" customHeight="1" s="8">
      <c r="A42" s="14" t="n">
        <v>41</v>
      </c>
      <c r="B42" s="14" t="n"/>
      <c r="C42" s="26" t="n"/>
      <c r="D42" s="17" t="n"/>
      <c r="E42" s="26" t="n"/>
      <c r="F42" s="26" t="n"/>
      <c r="G42" s="26" t="n"/>
      <c r="H42" s="26">
        <f>E42*D42</f>
        <v/>
      </c>
      <c r="I42" s="26">
        <f>H42-C42*D42</f>
        <v/>
      </c>
    </row>
    <row r="43" hidden="1" ht="21" customHeight="1" s="8">
      <c r="A43" s="14" t="n">
        <v>42</v>
      </c>
      <c r="B43" s="14" t="n"/>
      <c r="C43" s="26" t="n"/>
      <c r="D43" s="17" t="n"/>
      <c r="E43" s="26" t="n"/>
      <c r="F43" s="26" t="n"/>
      <c r="G43" s="26" t="n"/>
      <c r="H43" s="26">
        <f>E43*D43</f>
        <v/>
      </c>
      <c r="I43" s="26">
        <f>H43-C43*D43</f>
        <v/>
      </c>
    </row>
    <row r="44" hidden="1" ht="21" customHeight="1" s="8">
      <c r="A44" s="14" t="n">
        <v>43</v>
      </c>
      <c r="B44" s="14" t="n"/>
      <c r="C44" s="26" t="n"/>
      <c r="D44" s="17" t="n"/>
      <c r="E44" s="26" t="n"/>
      <c r="F44" s="26" t="n"/>
      <c r="G44" s="26" t="n"/>
      <c r="H44" s="26">
        <f>E44*D44</f>
        <v/>
      </c>
      <c r="I44" s="26">
        <f>H44-C44*D44</f>
        <v/>
      </c>
    </row>
    <row r="45" hidden="1" ht="21" customHeight="1" s="8">
      <c r="A45" s="14" t="n">
        <v>44</v>
      </c>
      <c r="B45" s="14" t="n"/>
      <c r="C45" s="26" t="n"/>
      <c r="D45" s="17" t="n"/>
      <c r="E45" s="26" t="n"/>
      <c r="F45" s="26" t="n"/>
      <c r="G45" s="26" t="n"/>
      <c r="H45" s="26">
        <f>E45*D45</f>
        <v/>
      </c>
      <c r="I45" s="26">
        <f>H45-C45*D45</f>
        <v/>
      </c>
    </row>
    <row r="46" hidden="1" ht="21" customHeight="1" s="8">
      <c r="A46" s="14" t="n">
        <v>45</v>
      </c>
      <c r="B46" s="14" t="n"/>
      <c r="C46" s="26" t="n"/>
      <c r="D46" s="17" t="n"/>
      <c r="E46" s="26" t="n"/>
      <c r="F46" s="26" t="n"/>
      <c r="G46" s="26" t="n"/>
      <c r="H46" s="26">
        <f>E46*D46</f>
        <v/>
      </c>
      <c r="I46" s="26">
        <f>H46-C46*D46</f>
        <v/>
      </c>
    </row>
    <row r="47" hidden="1" ht="21" customHeight="1" s="8">
      <c r="A47" s="14" t="n">
        <v>46</v>
      </c>
      <c r="B47" s="14" t="n"/>
      <c r="C47" s="26" t="n"/>
      <c r="D47" s="17" t="n"/>
      <c r="E47" s="26" t="n"/>
      <c r="F47" s="26" t="n"/>
      <c r="G47" s="26" t="n"/>
      <c r="H47" s="26">
        <f>E47*D47</f>
        <v/>
      </c>
      <c r="I47" s="26">
        <f>H47-C47*D47</f>
        <v/>
      </c>
    </row>
    <row r="48" hidden="1" ht="21" customHeight="1" s="8">
      <c r="A48" s="14" t="n">
        <v>47</v>
      </c>
      <c r="B48" s="14" t="n"/>
      <c r="C48" s="26" t="n"/>
      <c r="D48" s="17" t="n"/>
      <c r="E48" s="26" t="n"/>
      <c r="F48" s="26" t="n"/>
      <c r="G48" s="26" t="n"/>
      <c r="H48" s="26">
        <f>E48*D48</f>
        <v/>
      </c>
      <c r="I48" s="26">
        <f>H48-C48*D48</f>
        <v/>
      </c>
    </row>
    <row r="49" hidden="1" ht="21" customHeight="1" s="8">
      <c r="A49" s="14" t="n">
        <v>48</v>
      </c>
      <c r="B49" s="14" t="n"/>
      <c r="C49" s="26" t="n"/>
      <c r="D49" s="17" t="n"/>
      <c r="E49" s="26" t="n"/>
      <c r="F49" s="26" t="n"/>
      <c r="G49" s="26" t="n"/>
      <c r="H49" s="26">
        <f>E49*D49</f>
        <v/>
      </c>
      <c r="I49" s="26">
        <f>H49-C49*D49</f>
        <v/>
      </c>
    </row>
    <row r="50" hidden="1" ht="21" customHeight="1" s="8">
      <c r="A50" s="14" t="n">
        <v>49</v>
      </c>
      <c r="B50" s="14" t="n"/>
      <c r="C50" s="26" t="n"/>
      <c r="D50" s="17" t="n"/>
      <c r="E50" s="26" t="n"/>
      <c r="F50" s="26" t="n"/>
      <c r="G50" s="26" t="n"/>
      <c r="H50" s="26">
        <f>E50*D50</f>
        <v/>
      </c>
      <c r="I50" s="26">
        <f>H50-C50*D50</f>
        <v/>
      </c>
    </row>
    <row r="51" hidden="1" ht="21" customHeight="1" s="8">
      <c r="A51" s="14" t="n">
        <v>50</v>
      </c>
      <c r="B51" s="14" t="n"/>
      <c r="C51" s="26" t="n"/>
      <c r="D51" s="17" t="n"/>
      <c r="E51" s="26" t="n"/>
      <c r="F51" s="26" t="n"/>
      <c r="G51" s="26" t="n"/>
      <c r="H51" s="26">
        <f>E51*D51</f>
        <v/>
      </c>
      <c r="I51" s="26">
        <f>H51-C51*D51</f>
        <v/>
      </c>
    </row>
    <row r="52" hidden="1" ht="21" customHeight="1" s="8">
      <c r="A52" s="14" t="n">
        <v>51</v>
      </c>
      <c r="B52" s="14" t="n"/>
      <c r="C52" s="26" t="n"/>
      <c r="D52" s="17" t="n"/>
      <c r="E52" s="26" t="n"/>
      <c r="F52" s="26" t="n"/>
      <c r="G52" s="26" t="n"/>
      <c r="H52" s="26">
        <f>E52*D52</f>
        <v/>
      </c>
      <c r="I52" s="26">
        <f>H52-C52*D52</f>
        <v/>
      </c>
    </row>
    <row r="53" hidden="1" ht="21" customHeight="1" s="8">
      <c r="A53" s="14" t="n">
        <v>52</v>
      </c>
      <c r="B53" s="14" t="n"/>
      <c r="C53" s="26" t="n"/>
      <c r="D53" s="17" t="n"/>
      <c r="E53" s="26" t="n"/>
      <c r="F53" s="26" t="n"/>
      <c r="G53" s="26" t="n"/>
      <c r="H53" s="26">
        <f>E53*D53</f>
        <v/>
      </c>
      <c r="I53" s="26">
        <f>H53-C53*D53</f>
        <v/>
      </c>
    </row>
    <row r="54" hidden="1" ht="21" customHeight="1" s="8">
      <c r="A54" s="14" t="n">
        <v>53</v>
      </c>
      <c r="B54" s="14" t="n"/>
      <c r="C54" s="26" t="n"/>
      <c r="D54" s="17" t="n"/>
      <c r="E54" s="26" t="n"/>
      <c r="F54" s="26" t="n"/>
      <c r="G54" s="26" t="n"/>
      <c r="H54" s="26">
        <f>E54*D54</f>
        <v/>
      </c>
      <c r="I54" s="26">
        <f>H54-C54*D54</f>
        <v/>
      </c>
    </row>
    <row r="55" hidden="1" ht="21" customHeight="1" s="8">
      <c r="A55" s="14" t="n">
        <v>54</v>
      </c>
      <c r="B55" s="14" t="n"/>
      <c r="C55" s="26" t="n"/>
      <c r="D55" s="17" t="n"/>
      <c r="E55" s="26" t="n"/>
      <c r="F55" s="26" t="n"/>
      <c r="G55" s="26" t="n"/>
      <c r="H55" s="26">
        <f>E55*D55</f>
        <v/>
      </c>
      <c r="I55" s="26">
        <f>H55-C55*D55</f>
        <v/>
      </c>
    </row>
    <row r="56" hidden="1" ht="21" customHeight="1" s="8">
      <c r="A56" s="14" t="n">
        <v>55</v>
      </c>
      <c r="B56" s="14" t="n"/>
      <c r="C56" s="26" t="n"/>
      <c r="D56" s="17" t="n"/>
      <c r="E56" s="26" t="n"/>
      <c r="F56" s="26" t="n"/>
      <c r="G56" s="26" t="n"/>
      <c r="H56" s="26">
        <f>E56*D56</f>
        <v/>
      </c>
      <c r="I56" s="26">
        <f>H56-C56*D56</f>
        <v/>
      </c>
    </row>
    <row r="57" hidden="1" ht="21" customHeight="1" s="8">
      <c r="A57" s="14" t="n">
        <v>56</v>
      </c>
      <c r="B57" s="14" t="n"/>
      <c r="C57" s="26" t="n"/>
      <c r="D57" s="17" t="n"/>
      <c r="E57" s="26" t="n"/>
      <c r="F57" s="26" t="n"/>
      <c r="G57" s="26" t="n"/>
      <c r="H57" s="26">
        <f>E57*D57</f>
        <v/>
      </c>
      <c r="I57" s="26">
        <f>H57-C57*D57</f>
        <v/>
      </c>
    </row>
    <row r="58" hidden="1" ht="21" customHeight="1" s="8">
      <c r="A58" s="14" t="n">
        <v>57</v>
      </c>
      <c r="B58" s="14" t="n"/>
      <c r="C58" s="26" t="n"/>
      <c r="D58" s="17" t="n"/>
      <c r="E58" s="26" t="n"/>
      <c r="F58" s="26" t="n"/>
      <c r="G58" s="26" t="n"/>
      <c r="H58" s="26">
        <f>E58*D58</f>
        <v/>
      </c>
      <c r="I58" s="26">
        <f>H58-C58*D58</f>
        <v/>
      </c>
    </row>
    <row r="59" hidden="1" ht="21" customHeight="1" s="8">
      <c r="A59" s="14" t="n">
        <v>58</v>
      </c>
      <c r="B59" s="14" t="n"/>
      <c r="C59" s="26" t="n"/>
      <c r="D59" s="17" t="n"/>
      <c r="E59" s="26" t="n"/>
      <c r="F59" s="26" t="n"/>
      <c r="G59" s="26" t="n"/>
      <c r="H59" s="26">
        <f>E59*D59</f>
        <v/>
      </c>
      <c r="I59" s="26">
        <f>H59-C59*D59</f>
        <v/>
      </c>
    </row>
    <row r="60" hidden="1" ht="21" customHeight="1" s="8">
      <c r="A60" s="14" t="n">
        <v>59</v>
      </c>
      <c r="B60" s="14" t="n"/>
      <c r="C60" s="26" t="n"/>
      <c r="D60" s="17" t="n"/>
      <c r="E60" s="26" t="n"/>
      <c r="F60" s="26" t="n"/>
      <c r="G60" s="26" t="n"/>
      <c r="H60" s="26">
        <f>E60*D60</f>
        <v/>
      </c>
      <c r="I60" s="26">
        <f>H60-C60*D60</f>
        <v/>
      </c>
    </row>
    <row r="61" hidden="1" ht="21" customHeight="1" s="8">
      <c r="A61" s="14" t="n">
        <v>60</v>
      </c>
      <c r="B61" s="14" t="n"/>
      <c r="C61" s="26" t="n"/>
      <c r="D61" s="17" t="n"/>
      <c r="E61" s="26" t="n"/>
      <c r="F61" s="26" t="n"/>
      <c r="G61" s="26" t="n"/>
      <c r="H61" s="26">
        <f>E61*D61</f>
        <v/>
      </c>
      <c r="I61" s="26">
        <f>H61-C61*D61</f>
        <v/>
      </c>
    </row>
    <row r="62" hidden="1" ht="21" customHeight="1" s="8">
      <c r="A62" s="14" t="n">
        <v>61</v>
      </c>
      <c r="B62" s="14" t="n"/>
      <c r="C62" s="26" t="n"/>
      <c r="D62" s="17" t="n"/>
      <c r="E62" s="26" t="n"/>
      <c r="F62" s="26" t="n"/>
      <c r="G62" s="26" t="n"/>
      <c r="H62" s="26">
        <f>E62*D62</f>
        <v/>
      </c>
      <c r="I62" s="26">
        <f>H62-C62*D62</f>
        <v/>
      </c>
    </row>
    <row r="63" hidden="1" ht="21" customHeight="1" s="8">
      <c r="A63" s="14" t="n">
        <v>62</v>
      </c>
      <c r="B63" s="14" t="n"/>
      <c r="C63" s="26" t="n"/>
      <c r="D63" s="17" t="n"/>
      <c r="E63" s="26" t="n"/>
      <c r="F63" s="26" t="n"/>
      <c r="G63" s="26" t="n"/>
      <c r="H63" s="26">
        <f>E63*D63</f>
        <v/>
      </c>
      <c r="I63" s="26">
        <f>H63-C63*D63</f>
        <v/>
      </c>
    </row>
    <row r="64" hidden="1" ht="21" customHeight="1" s="8">
      <c r="A64" s="14" t="n">
        <v>63</v>
      </c>
      <c r="B64" s="14" t="n"/>
      <c r="C64" s="26" t="n"/>
      <c r="D64" s="17" t="n"/>
      <c r="E64" s="26" t="n"/>
      <c r="F64" s="26" t="n"/>
      <c r="G64" s="26" t="n"/>
      <c r="H64" s="26">
        <f>E64*D64</f>
        <v/>
      </c>
      <c r="I64" s="26">
        <f>H64-C64*D64</f>
        <v/>
      </c>
    </row>
    <row r="65" hidden="1" ht="21" customHeight="1" s="8">
      <c r="A65" s="14" t="n">
        <v>64</v>
      </c>
      <c r="B65" s="14" t="n"/>
      <c r="C65" s="26" t="n"/>
      <c r="D65" s="17" t="n"/>
      <c r="E65" s="26" t="n"/>
      <c r="F65" s="26" t="n"/>
      <c r="G65" s="26" t="n"/>
      <c r="H65" s="26">
        <f>E65*D65</f>
        <v/>
      </c>
      <c r="I65" s="26">
        <f>H65-C65*D65</f>
        <v/>
      </c>
    </row>
    <row r="66" hidden="1" ht="21" customHeight="1" s="8">
      <c r="A66" s="14" t="n">
        <v>65</v>
      </c>
      <c r="B66" s="14" t="n"/>
      <c r="C66" s="26" t="n"/>
      <c r="D66" s="17" t="n"/>
      <c r="E66" s="26" t="n"/>
      <c r="F66" s="26" t="n"/>
      <c r="G66" s="26" t="n"/>
      <c r="H66" s="26">
        <f>E66*D66</f>
        <v/>
      </c>
      <c r="I66" s="26">
        <f>H66-C66*D66</f>
        <v/>
      </c>
    </row>
    <row r="67" hidden="1" ht="21" customHeight="1" s="8">
      <c r="A67" s="14" t="n">
        <v>66</v>
      </c>
      <c r="B67" s="14" t="n"/>
      <c r="C67" s="26" t="n"/>
      <c r="D67" s="17" t="n"/>
      <c r="E67" s="26" t="n"/>
      <c r="F67" s="26" t="n"/>
      <c r="G67" s="26" t="n"/>
      <c r="H67" s="26">
        <f>E67*D67</f>
        <v/>
      </c>
      <c r="I67" s="26">
        <f>H67-C67*D67</f>
        <v/>
      </c>
    </row>
    <row r="68" hidden="1" ht="21" customHeight="1" s="8">
      <c r="A68" s="14" t="n">
        <v>67</v>
      </c>
      <c r="B68" s="14" t="n"/>
      <c r="C68" s="26" t="n"/>
      <c r="D68" s="17" t="n"/>
      <c r="E68" s="26" t="n"/>
      <c r="F68" s="26" t="n"/>
      <c r="G68" s="26" t="n"/>
      <c r="H68" s="26">
        <f>E68*D68</f>
        <v/>
      </c>
      <c r="I68" s="26">
        <f>H68-C68*D68</f>
        <v/>
      </c>
    </row>
    <row r="69" hidden="1" ht="21" customHeight="1" s="8">
      <c r="A69" s="14" t="n">
        <v>68</v>
      </c>
      <c r="B69" s="14" t="n"/>
      <c r="C69" s="26" t="n"/>
      <c r="D69" s="17" t="n"/>
      <c r="E69" s="26" t="n"/>
      <c r="F69" s="26" t="n"/>
      <c r="G69" s="26" t="n"/>
      <c r="H69" s="26">
        <f>E69*D69</f>
        <v/>
      </c>
      <c r="I69" s="26">
        <f>H69-C69*D69</f>
        <v/>
      </c>
    </row>
    <row r="70" hidden="1" ht="21" customHeight="1" s="8">
      <c r="A70" s="14" t="n">
        <v>69</v>
      </c>
      <c r="B70" s="14" t="n"/>
      <c r="C70" s="26" t="n"/>
      <c r="D70" s="17" t="n"/>
      <c r="E70" s="26" t="n"/>
      <c r="F70" s="26" t="n"/>
      <c r="G70" s="26" t="n"/>
      <c r="H70" s="26">
        <f>E70*D70</f>
        <v/>
      </c>
      <c r="I70" s="26">
        <f>H70-C70*D70</f>
        <v/>
      </c>
    </row>
    <row r="71" hidden="1" ht="21" customHeight="1" s="8">
      <c r="A71" s="14" t="n">
        <v>70</v>
      </c>
      <c r="B71" s="14" t="n"/>
      <c r="C71" s="26" t="n"/>
      <c r="D71" s="17" t="n"/>
      <c r="E71" s="26" t="n"/>
      <c r="F71" s="26" t="n"/>
      <c r="G71" s="26" t="n"/>
      <c r="H71" s="26">
        <f>E71*D71</f>
        <v/>
      </c>
      <c r="I71" s="26">
        <f>H71-C71*D71</f>
        <v/>
      </c>
    </row>
    <row r="72" hidden="1" ht="21" customHeight="1" s="8">
      <c r="A72" s="14" t="n">
        <v>71</v>
      </c>
      <c r="B72" s="14" t="n"/>
      <c r="C72" s="26" t="n"/>
      <c r="D72" s="17" t="n"/>
      <c r="E72" s="26" t="n"/>
      <c r="F72" s="26" t="n"/>
      <c r="G72" s="26" t="n"/>
      <c r="H72" s="26">
        <f>E72*D72</f>
        <v/>
      </c>
      <c r="I72" s="26">
        <f>H72-C72*D72</f>
        <v/>
      </c>
    </row>
    <row r="73" hidden="1" ht="21" customHeight="1" s="8">
      <c r="A73" s="14" t="n">
        <v>72</v>
      </c>
      <c r="B73" s="14" t="n"/>
      <c r="C73" s="26" t="n"/>
      <c r="D73" s="17" t="n"/>
      <c r="E73" s="26" t="n"/>
      <c r="F73" s="26" t="n"/>
      <c r="G73" s="26" t="n"/>
      <c r="H73" s="26">
        <f>E73*D73</f>
        <v/>
      </c>
      <c r="I73" s="26">
        <f>H73-C73*D73</f>
        <v/>
      </c>
    </row>
    <row r="74" hidden="1" ht="21" customHeight="1" s="8">
      <c r="A74" s="14" t="n">
        <v>73</v>
      </c>
      <c r="B74" s="14" t="n"/>
      <c r="C74" s="26" t="n"/>
      <c r="D74" s="17" t="n"/>
      <c r="E74" s="26" t="n"/>
      <c r="F74" s="26" t="n"/>
      <c r="G74" s="26" t="n"/>
      <c r="H74" s="26">
        <f>E74*D74</f>
        <v/>
      </c>
      <c r="I74" s="26">
        <f>H74-C74*D74</f>
        <v/>
      </c>
    </row>
    <row r="75" hidden="1" ht="21" customHeight="1" s="8">
      <c r="A75" s="14" t="n">
        <v>74</v>
      </c>
      <c r="B75" s="14" t="n"/>
      <c r="C75" s="26" t="n"/>
      <c r="D75" s="17" t="n"/>
      <c r="E75" s="26" t="n"/>
      <c r="F75" s="26" t="n"/>
      <c r="G75" s="26" t="n"/>
      <c r="H75" s="26">
        <f>E75*D75</f>
        <v/>
      </c>
      <c r="I75" s="26">
        <f>H75-C75*D75</f>
        <v/>
      </c>
    </row>
    <row r="76" hidden="1" ht="21" customHeight="1" s="8">
      <c r="A76" s="14" t="n">
        <v>75</v>
      </c>
      <c r="B76" s="14" t="n"/>
      <c r="C76" s="26" t="n"/>
      <c r="D76" s="17" t="n"/>
      <c r="E76" s="26" t="n"/>
      <c r="F76" s="26" t="n"/>
      <c r="G76" s="26" t="n"/>
      <c r="H76" s="26">
        <f>E76*D76</f>
        <v/>
      </c>
      <c r="I76" s="26">
        <f>H76-C76*D76</f>
        <v/>
      </c>
    </row>
    <row r="77" hidden="1" ht="21" customHeight="1" s="8">
      <c r="A77" s="14" t="n">
        <v>76</v>
      </c>
      <c r="B77" s="14" t="n"/>
      <c r="C77" s="26" t="n"/>
      <c r="D77" s="17" t="n"/>
      <c r="E77" s="26" t="n"/>
      <c r="F77" s="26" t="n"/>
      <c r="G77" s="26" t="n"/>
      <c r="H77" s="26">
        <f>E77*D77</f>
        <v/>
      </c>
      <c r="I77" s="26">
        <f>H77-C77*D77</f>
        <v/>
      </c>
    </row>
    <row r="78" hidden="1" ht="21" customHeight="1" s="8">
      <c r="A78" s="14" t="n">
        <v>77</v>
      </c>
      <c r="B78" s="14" t="n"/>
      <c r="C78" s="26" t="n"/>
      <c r="D78" s="17" t="n"/>
      <c r="E78" s="26" t="n"/>
      <c r="F78" s="26" t="n"/>
      <c r="G78" s="26" t="n"/>
      <c r="H78" s="26">
        <f>E78*D78</f>
        <v/>
      </c>
      <c r="I78" s="26">
        <f>H78-C78*D78</f>
        <v/>
      </c>
    </row>
    <row r="79" hidden="1" ht="21" customHeight="1" s="8">
      <c r="A79" s="14" t="n">
        <v>78</v>
      </c>
      <c r="B79" s="14" t="n"/>
      <c r="C79" s="26" t="n"/>
      <c r="D79" s="17" t="n"/>
      <c r="E79" s="26" t="n"/>
      <c r="F79" s="26" t="n"/>
      <c r="G79" s="26" t="n"/>
      <c r="H79" s="26">
        <f>E79*D79</f>
        <v/>
      </c>
      <c r="I79" s="26">
        <f>H79-C79*D79</f>
        <v/>
      </c>
    </row>
    <row r="80" hidden="1" ht="21" customHeight="1" s="8">
      <c r="A80" s="14" t="n">
        <v>79</v>
      </c>
      <c r="B80" s="14" t="n"/>
      <c r="C80" s="26" t="n"/>
      <c r="D80" s="17" t="n"/>
      <c r="E80" s="26" t="n"/>
      <c r="F80" s="26" t="n"/>
      <c r="G80" s="26" t="n"/>
      <c r="H80" s="26">
        <f>E80*D80</f>
        <v/>
      </c>
      <c r="I80" s="26">
        <f>H80-C80*D80</f>
        <v/>
      </c>
    </row>
    <row r="81" hidden="1" ht="21" customHeight="1" s="8">
      <c r="A81" s="14" t="n">
        <v>80</v>
      </c>
      <c r="B81" s="14" t="n"/>
      <c r="C81" s="26" t="n"/>
      <c r="D81" s="17" t="n"/>
      <c r="E81" s="26" t="n"/>
      <c r="F81" s="26" t="n"/>
      <c r="G81" s="26" t="n"/>
      <c r="H81" s="26">
        <f>E81*D81</f>
        <v/>
      </c>
      <c r="I81" s="26">
        <f>H81-C81*D81</f>
        <v/>
      </c>
    </row>
    <row r="82" hidden="1" ht="21" customHeight="1" s="8">
      <c r="A82" s="14" t="n">
        <v>81</v>
      </c>
      <c r="B82" s="14" t="n"/>
      <c r="C82" s="26" t="n"/>
      <c r="D82" s="17" t="n"/>
      <c r="E82" s="26" t="n"/>
      <c r="F82" s="26" t="n"/>
      <c r="G82" s="26" t="n"/>
      <c r="H82" s="26">
        <f>E82*D82</f>
        <v/>
      </c>
      <c r="I82" s="26">
        <f>H82-C82*D82</f>
        <v/>
      </c>
    </row>
    <row r="83" hidden="1" ht="21" customHeight="1" s="8">
      <c r="A83" s="14" t="n">
        <v>82</v>
      </c>
      <c r="B83" s="14" t="n"/>
      <c r="C83" s="26" t="n"/>
      <c r="D83" s="17" t="n"/>
      <c r="E83" s="26" t="n"/>
      <c r="F83" s="26" t="n"/>
      <c r="G83" s="26" t="n"/>
      <c r="H83" s="26">
        <f>E83*D83</f>
        <v/>
      </c>
      <c r="I83" s="26">
        <f>H83-C83*D83</f>
        <v/>
      </c>
    </row>
    <row r="84" hidden="1" ht="21" customHeight="1" s="8">
      <c r="A84" s="14" t="n">
        <v>83</v>
      </c>
      <c r="B84" s="14" t="n"/>
      <c r="C84" s="26" t="n"/>
      <c r="D84" s="17" t="n"/>
      <c r="E84" s="26" t="n"/>
      <c r="F84" s="26" t="n"/>
      <c r="G84" s="26" t="n"/>
      <c r="H84" s="26">
        <f>E84*D84</f>
        <v/>
      </c>
      <c r="I84" s="26">
        <f>H84-C84*D84</f>
        <v/>
      </c>
    </row>
    <row r="85" hidden="1" ht="21" customHeight="1" s="8">
      <c r="A85" s="14" t="n">
        <v>84</v>
      </c>
      <c r="B85" s="14" t="n"/>
      <c r="C85" s="26" t="n"/>
      <c r="D85" s="17" t="n"/>
      <c r="E85" s="26" t="n"/>
      <c r="F85" s="26" t="n"/>
      <c r="G85" s="26" t="n"/>
      <c r="H85" s="26">
        <f>E85*D85</f>
        <v/>
      </c>
      <c r="I85" s="26">
        <f>H85-C85*D85</f>
        <v/>
      </c>
    </row>
    <row r="86" hidden="1" ht="21" customHeight="1" s="8">
      <c r="A86" s="14" t="n">
        <v>85</v>
      </c>
      <c r="B86" s="14" t="n"/>
      <c r="C86" s="26" t="n"/>
      <c r="D86" s="17" t="n"/>
      <c r="E86" s="26" t="n"/>
      <c r="F86" s="26" t="n"/>
      <c r="G86" s="26" t="n"/>
      <c r="H86" s="26">
        <f>E86*D86</f>
        <v/>
      </c>
      <c r="I86" s="26">
        <f>H86-C86*D86</f>
        <v/>
      </c>
    </row>
    <row r="87" hidden="1" ht="21" customHeight="1" s="8">
      <c r="A87" s="14" t="n">
        <v>86</v>
      </c>
      <c r="B87" s="14" t="n"/>
      <c r="C87" s="26" t="n"/>
      <c r="D87" s="17" t="n"/>
      <c r="E87" s="26" t="n"/>
      <c r="F87" s="26" t="n"/>
      <c r="G87" s="26" t="n"/>
      <c r="H87" s="26">
        <f>E87*D87</f>
        <v/>
      </c>
      <c r="I87" s="26">
        <f>H87-C87*D87</f>
        <v/>
      </c>
    </row>
    <row r="88" hidden="1" ht="21" customHeight="1" s="8">
      <c r="A88" s="14" t="n">
        <v>87</v>
      </c>
      <c r="B88" s="14" t="n"/>
      <c r="C88" s="26" t="n"/>
      <c r="D88" s="17" t="n"/>
      <c r="E88" s="26" t="n"/>
      <c r="F88" s="26" t="n"/>
      <c r="G88" s="26" t="n"/>
      <c r="H88" s="26">
        <f>E88*D88</f>
        <v/>
      </c>
      <c r="I88" s="26">
        <f>H88-C88*D88</f>
        <v/>
      </c>
    </row>
    <row r="89" hidden="1" ht="21" customHeight="1" s="8">
      <c r="A89" s="14" t="n">
        <v>88</v>
      </c>
      <c r="B89" s="14" t="n"/>
      <c r="C89" s="26" t="n"/>
      <c r="D89" s="17" t="n"/>
      <c r="E89" s="26" t="n"/>
      <c r="F89" s="26" t="n"/>
      <c r="G89" s="26" t="n"/>
      <c r="H89" s="26">
        <f>E89*D89</f>
        <v/>
      </c>
      <c r="I89" s="26">
        <f>H89-C89*D89</f>
        <v/>
      </c>
    </row>
    <row r="90" hidden="1" ht="21" customHeight="1" s="8">
      <c r="A90" s="14" t="n">
        <v>89</v>
      </c>
      <c r="B90" s="14" t="n"/>
      <c r="C90" s="26" t="n"/>
      <c r="D90" s="17" t="n"/>
      <c r="E90" s="26" t="n"/>
      <c r="F90" s="26" t="n"/>
      <c r="G90" s="26" t="n"/>
      <c r="H90" s="26">
        <f>E90*D90</f>
        <v/>
      </c>
      <c r="I90" s="26">
        <f>H90-C90*D90</f>
        <v/>
      </c>
    </row>
    <row r="91" hidden="1" ht="21" customHeight="1" s="8">
      <c r="A91" s="14" t="n">
        <v>90</v>
      </c>
      <c r="B91" s="14" t="n"/>
      <c r="C91" s="26" t="n"/>
      <c r="D91" s="17" t="n"/>
      <c r="E91" s="26" t="n"/>
      <c r="F91" s="26" t="n"/>
      <c r="G91" s="26" t="n"/>
      <c r="H91" s="26">
        <f>E91*D91</f>
        <v/>
      </c>
      <c r="I91" s="26">
        <f>H91-C91*D91</f>
        <v/>
      </c>
    </row>
    <row r="92" hidden="1" ht="21" customHeight="1" s="8">
      <c r="A92" s="14" t="n">
        <v>91</v>
      </c>
      <c r="B92" s="14" t="n"/>
      <c r="C92" s="26" t="n"/>
      <c r="D92" s="17" t="n"/>
      <c r="E92" s="26" t="n"/>
      <c r="F92" s="26" t="n"/>
      <c r="G92" s="26" t="n"/>
      <c r="H92" s="26">
        <f>E92*D92</f>
        <v/>
      </c>
      <c r="I92" s="26">
        <f>H92-C92*D92</f>
        <v/>
      </c>
    </row>
    <row r="93" hidden="1" ht="21" customHeight="1" s="8">
      <c r="A93" s="14" t="n">
        <v>92</v>
      </c>
      <c r="B93" s="14" t="n"/>
      <c r="C93" s="26" t="n"/>
      <c r="D93" s="17" t="n"/>
      <c r="E93" s="26" t="n"/>
      <c r="F93" s="26" t="n"/>
      <c r="G93" s="26" t="n"/>
      <c r="H93" s="26">
        <f>E93*D93</f>
        <v/>
      </c>
      <c r="I93" s="26">
        <f>H93-C93*D93</f>
        <v/>
      </c>
    </row>
    <row r="94" hidden="1" ht="21" customHeight="1" s="8">
      <c r="A94" s="14" t="n">
        <v>93</v>
      </c>
      <c r="B94" s="14" t="n"/>
      <c r="C94" s="26" t="n"/>
      <c r="D94" s="17" t="n"/>
      <c r="E94" s="26" t="n"/>
      <c r="F94" s="26" t="n"/>
      <c r="G94" s="26" t="n"/>
      <c r="H94" s="26">
        <f>E94*D94</f>
        <v/>
      </c>
      <c r="I94" s="26">
        <f>H94-C94*D94</f>
        <v/>
      </c>
    </row>
    <row r="95" hidden="1" ht="21" customHeight="1" s="8">
      <c r="A95" s="14" t="n">
        <v>94</v>
      </c>
      <c r="B95" s="14" t="n"/>
      <c r="C95" s="26" t="n"/>
      <c r="D95" s="17" t="n"/>
      <c r="E95" s="26" t="n"/>
      <c r="F95" s="26" t="n"/>
      <c r="G95" s="26" t="n"/>
      <c r="H95" s="26">
        <f>E95*D95</f>
        <v/>
      </c>
      <c r="I95" s="26">
        <f>H95-C95*D95</f>
        <v/>
      </c>
    </row>
    <row r="96" hidden="1" ht="21" customHeight="1" s="8">
      <c r="A96" s="14" t="n">
        <v>95</v>
      </c>
      <c r="B96" s="14" t="n"/>
      <c r="C96" s="26" t="n"/>
      <c r="D96" s="17" t="n"/>
      <c r="E96" s="26" t="n"/>
      <c r="F96" s="26" t="n"/>
      <c r="G96" s="26" t="n"/>
      <c r="H96" s="26">
        <f>E96*D96</f>
        <v/>
      </c>
      <c r="I96" s="26">
        <f>H96-C96*D96</f>
        <v/>
      </c>
    </row>
    <row r="97" hidden="1" ht="21" customHeight="1" s="8">
      <c r="A97" s="14" t="n">
        <v>96</v>
      </c>
      <c r="B97" s="14" t="n"/>
      <c r="C97" s="26" t="n"/>
      <c r="D97" s="17" t="n"/>
      <c r="E97" s="26" t="n"/>
      <c r="F97" s="26" t="n"/>
      <c r="G97" s="26" t="n"/>
      <c r="H97" s="26">
        <f>E97*D97</f>
        <v/>
      </c>
      <c r="I97" s="26">
        <f>H97-C97*D97</f>
        <v/>
      </c>
    </row>
    <row r="98" hidden="1" ht="21" customHeight="1" s="8">
      <c r="A98" s="14" t="n">
        <v>97</v>
      </c>
      <c r="B98" s="14" t="n"/>
      <c r="C98" s="26" t="n"/>
      <c r="D98" s="17" t="n"/>
      <c r="E98" s="26" t="n"/>
      <c r="F98" s="26" t="n"/>
      <c r="G98" s="26" t="n"/>
      <c r="H98" s="26">
        <f>E98*D98</f>
        <v/>
      </c>
      <c r="I98" s="26">
        <f>H98-C98*D98</f>
        <v/>
      </c>
    </row>
    <row r="99" hidden="1" ht="21" customHeight="1" s="8">
      <c r="A99" s="14" t="n">
        <v>98</v>
      </c>
      <c r="B99" s="14" t="n"/>
      <c r="C99" s="26" t="n"/>
      <c r="D99" s="17" t="n"/>
      <c r="E99" s="26" t="n"/>
      <c r="F99" s="26" t="n"/>
      <c r="G99" s="26" t="n"/>
      <c r="H99" s="26">
        <f>E99*D99</f>
        <v/>
      </c>
      <c r="I99" s="26">
        <f>H99-C99*D99</f>
        <v/>
      </c>
    </row>
    <row r="100" hidden="1" ht="21" customHeight="1" s="8">
      <c r="A100" s="14" t="n">
        <v>99</v>
      </c>
      <c r="B100" s="14" t="n"/>
      <c r="C100" s="26" t="n"/>
      <c r="D100" s="17" t="n"/>
      <c r="E100" s="26" t="n"/>
      <c r="F100" s="26" t="n"/>
      <c r="G100" s="26" t="n"/>
      <c r="H100" s="26">
        <f>E100*D100</f>
        <v/>
      </c>
      <c r="I100" s="26">
        <f>H100-C100*D100</f>
        <v/>
      </c>
    </row>
    <row r="101" hidden="1" ht="21" customHeight="1" s="8">
      <c r="A101" s="14" t="n">
        <v>100</v>
      </c>
      <c r="B101" s="14" t="n"/>
      <c r="C101" s="26" t="n"/>
      <c r="D101" s="17" t="n"/>
      <c r="E101" s="26" t="n"/>
      <c r="F101" s="26" t="n"/>
      <c r="G101" s="26" t="n"/>
      <c r="H101" s="26">
        <f>E101*D101</f>
        <v/>
      </c>
      <c r="I101" s="26">
        <f>H101-C101*D101</f>
        <v/>
      </c>
    </row>
    <row r="102" hidden="1" ht="21" customHeight="1" s="8">
      <c r="A102" s="14" t="n">
        <v>101</v>
      </c>
      <c r="B102" s="14" t="n"/>
      <c r="C102" s="26" t="n"/>
      <c r="D102" s="17" t="n"/>
      <c r="E102" s="26" t="n"/>
      <c r="F102" s="26" t="n"/>
      <c r="G102" s="26" t="n"/>
      <c r="H102" s="26">
        <f>E102*D102</f>
        <v/>
      </c>
      <c r="I102" s="26">
        <f>H102-C102*D102</f>
        <v/>
      </c>
    </row>
    <row r="103" hidden="1" ht="21" customHeight="1" s="8">
      <c r="A103" s="14" t="n">
        <v>102</v>
      </c>
      <c r="B103" s="14" t="n"/>
      <c r="C103" s="26" t="n"/>
      <c r="D103" s="17" t="n"/>
      <c r="E103" s="26" t="n"/>
      <c r="F103" s="26" t="n"/>
      <c r="G103" s="26" t="n"/>
      <c r="H103" s="26">
        <f>E103*D103</f>
        <v/>
      </c>
      <c r="I103" s="26">
        <f>H103-C103*D103</f>
        <v/>
      </c>
    </row>
    <row r="104" hidden="1" ht="21" customHeight="1" s="8">
      <c r="A104" s="14" t="n">
        <v>103</v>
      </c>
      <c r="B104" s="14" t="n"/>
      <c r="C104" s="26" t="n"/>
      <c r="D104" s="17" t="n"/>
      <c r="E104" s="26" t="n"/>
      <c r="F104" s="26" t="n"/>
      <c r="G104" s="26" t="n"/>
      <c r="H104" s="26">
        <f>E104*D104</f>
        <v/>
      </c>
      <c r="I104" s="26">
        <f>H104-C104*D104</f>
        <v/>
      </c>
    </row>
    <row r="105" hidden="1" ht="21" customHeight="1" s="8">
      <c r="A105" s="14" t="n">
        <v>104</v>
      </c>
      <c r="B105" s="14" t="n"/>
      <c r="C105" s="26" t="n"/>
      <c r="D105" s="17" t="n"/>
      <c r="E105" s="26" t="n"/>
      <c r="F105" s="26" t="n"/>
      <c r="G105" s="26" t="n"/>
      <c r="H105" s="26">
        <f>E105*D105</f>
        <v/>
      </c>
      <c r="I105" s="26">
        <f>H105-C105*D105</f>
        <v/>
      </c>
    </row>
    <row r="106" hidden="1" ht="21" customHeight="1" s="8">
      <c r="A106" s="14" t="n">
        <v>105</v>
      </c>
      <c r="B106" s="14" t="n"/>
      <c r="C106" s="26" t="n"/>
      <c r="D106" s="17" t="n"/>
      <c r="E106" s="26" t="n"/>
      <c r="F106" s="26" t="n"/>
      <c r="G106" s="26" t="n"/>
      <c r="H106" s="26">
        <f>E106*D106</f>
        <v/>
      </c>
      <c r="I106" s="26">
        <f>H106-C106*D106</f>
        <v/>
      </c>
    </row>
    <row r="107" hidden="1" ht="21" customHeight="1" s="8">
      <c r="A107" s="14" t="n">
        <v>106</v>
      </c>
      <c r="B107" s="14" t="n"/>
      <c r="C107" s="26" t="n"/>
      <c r="D107" s="17" t="n"/>
      <c r="E107" s="26" t="n"/>
      <c r="F107" s="26" t="n"/>
      <c r="G107" s="26" t="n"/>
      <c r="H107" s="26">
        <f>E107*D107</f>
        <v/>
      </c>
      <c r="I107" s="26">
        <f>H107-C107*D107</f>
        <v/>
      </c>
    </row>
    <row r="108" hidden="1" ht="21" customHeight="1" s="8">
      <c r="A108" s="14" t="n">
        <v>107</v>
      </c>
      <c r="B108" s="14" t="n"/>
      <c r="C108" s="26" t="n"/>
      <c r="D108" s="17" t="n"/>
      <c r="E108" s="26" t="n"/>
      <c r="F108" s="26" t="n"/>
      <c r="G108" s="26" t="n"/>
      <c r="H108" s="26">
        <f>E108*D108</f>
        <v/>
      </c>
      <c r="I108" s="26">
        <f>H108-C108*D108</f>
        <v/>
      </c>
    </row>
    <row r="109" hidden="1" ht="21" customHeight="1" s="8">
      <c r="A109" s="14" t="n">
        <v>108</v>
      </c>
      <c r="B109" s="14" t="n"/>
      <c r="C109" s="26" t="n"/>
      <c r="D109" s="17" t="n"/>
      <c r="E109" s="26" t="n"/>
      <c r="F109" s="26" t="n"/>
      <c r="G109" s="26" t="n"/>
      <c r="H109" s="26">
        <f>E109*D109</f>
        <v/>
      </c>
      <c r="I109" s="26">
        <f>H109-C109*D109</f>
        <v/>
      </c>
    </row>
    <row r="110" hidden="1" ht="21" customHeight="1" s="8">
      <c r="A110" s="14" t="n">
        <v>109</v>
      </c>
      <c r="B110" s="14" t="n"/>
      <c r="C110" s="26" t="n"/>
      <c r="D110" s="17" t="n"/>
      <c r="E110" s="26" t="n"/>
      <c r="F110" s="26" t="n"/>
      <c r="G110" s="26" t="n"/>
      <c r="H110" s="26">
        <f>E110*D110</f>
        <v/>
      </c>
      <c r="I110" s="26">
        <f>H110-C110*D110</f>
        <v/>
      </c>
    </row>
    <row r="111" hidden="1" ht="21" customHeight="1" s="8">
      <c r="A111" s="14" t="n">
        <v>110</v>
      </c>
      <c r="B111" s="14" t="n"/>
      <c r="C111" s="26" t="n"/>
      <c r="D111" s="17" t="n"/>
      <c r="E111" s="26" t="n"/>
      <c r="F111" s="26" t="n"/>
      <c r="G111" s="26" t="n"/>
      <c r="H111" s="26">
        <f>E111*D111</f>
        <v/>
      </c>
      <c r="I111" s="26">
        <f>H111-C111*D111</f>
        <v/>
      </c>
    </row>
    <row r="112" hidden="1" ht="21" customHeight="1" s="8">
      <c r="A112" s="14" t="n">
        <v>111</v>
      </c>
      <c r="B112" s="14" t="n"/>
      <c r="C112" s="26" t="n"/>
      <c r="D112" s="17" t="n"/>
      <c r="E112" s="26" t="n"/>
      <c r="F112" s="26" t="n"/>
      <c r="G112" s="26" t="n"/>
      <c r="H112" s="26">
        <f>E112*D112</f>
        <v/>
      </c>
      <c r="I112" s="26">
        <f>H112-C112*D112</f>
        <v/>
      </c>
    </row>
    <row r="113" hidden="1" ht="21" customHeight="1" s="8">
      <c r="A113" s="14" t="n">
        <v>112</v>
      </c>
      <c r="B113" s="14" t="n"/>
      <c r="C113" s="26" t="n"/>
      <c r="D113" s="17" t="n"/>
      <c r="E113" s="26" t="n"/>
      <c r="F113" s="26" t="n"/>
      <c r="G113" s="26" t="n"/>
      <c r="H113" s="26">
        <f>E113*D113</f>
        <v/>
      </c>
      <c r="I113" s="26">
        <f>H113-C113*D113</f>
        <v/>
      </c>
    </row>
    <row r="114" hidden="1" ht="21" customHeight="1" s="8">
      <c r="A114" s="14" t="n">
        <v>113</v>
      </c>
      <c r="B114" s="14" t="n"/>
      <c r="C114" s="26" t="n"/>
      <c r="D114" s="17" t="n"/>
      <c r="E114" s="26" t="n"/>
      <c r="F114" s="26" t="n"/>
      <c r="G114" s="26" t="n"/>
      <c r="H114" s="26">
        <f>E114*D114</f>
        <v/>
      </c>
      <c r="I114" s="26">
        <f>H114-C114*D114</f>
        <v/>
      </c>
    </row>
    <row r="115" hidden="1" ht="21" customHeight="1" s="8">
      <c r="A115" s="14" t="n">
        <v>114</v>
      </c>
      <c r="B115" s="14" t="n"/>
      <c r="C115" s="26" t="n"/>
      <c r="D115" s="17" t="n"/>
      <c r="E115" s="26" t="n"/>
      <c r="F115" s="26" t="n"/>
      <c r="G115" s="26" t="n"/>
      <c r="H115" s="26">
        <f>E115*D115</f>
        <v/>
      </c>
      <c r="I115" s="26">
        <f>H115-C115*D115</f>
        <v/>
      </c>
    </row>
    <row r="116" hidden="1" ht="21" customHeight="1" s="8">
      <c r="A116" s="14" t="n">
        <v>115</v>
      </c>
      <c r="B116" s="14" t="n"/>
      <c r="C116" s="26" t="n"/>
      <c r="D116" s="17" t="n"/>
      <c r="E116" s="26" t="n"/>
      <c r="F116" s="26" t="n"/>
      <c r="G116" s="26" t="n"/>
      <c r="H116" s="26">
        <f>E116*D116</f>
        <v/>
      </c>
      <c r="I116" s="26">
        <f>H116-C116*D116</f>
        <v/>
      </c>
    </row>
    <row r="117" hidden="1" ht="21" customHeight="1" s="8">
      <c r="A117" s="14" t="n">
        <v>116</v>
      </c>
      <c r="B117" s="14" t="n"/>
      <c r="C117" s="26" t="n"/>
      <c r="D117" s="17" t="n"/>
      <c r="E117" s="26" t="n"/>
      <c r="F117" s="26" t="n"/>
      <c r="G117" s="26" t="n"/>
      <c r="H117" s="26">
        <f>E117*D117</f>
        <v/>
      </c>
      <c r="I117" s="26">
        <f>H117-C117*D117</f>
        <v/>
      </c>
    </row>
    <row r="118" hidden="1" ht="21" customHeight="1" s="8">
      <c r="A118" s="14" t="n">
        <v>117</v>
      </c>
      <c r="B118" s="14" t="n"/>
      <c r="C118" s="26" t="n"/>
      <c r="D118" s="17" t="n"/>
      <c r="E118" s="26" t="n"/>
      <c r="F118" s="26" t="n"/>
      <c r="G118" s="26" t="n"/>
      <c r="H118" s="26">
        <f>E118*D118</f>
        <v/>
      </c>
      <c r="I118" s="26">
        <f>H118-C118*D118</f>
        <v/>
      </c>
    </row>
    <row r="119" hidden="1" ht="21" customHeight="1" s="8">
      <c r="A119" s="14" t="n">
        <v>118</v>
      </c>
      <c r="B119" s="14" t="n"/>
      <c r="C119" s="26" t="n"/>
      <c r="D119" s="17" t="n"/>
      <c r="E119" s="26" t="n"/>
      <c r="F119" s="26" t="n"/>
      <c r="G119" s="26" t="n"/>
      <c r="H119" s="26">
        <f>E119*D119</f>
        <v/>
      </c>
      <c r="I119" s="26">
        <f>H119-C119*D119</f>
        <v/>
      </c>
    </row>
    <row r="120" hidden="1" ht="21" customHeight="1" s="8">
      <c r="A120" s="14" t="n">
        <v>119</v>
      </c>
      <c r="B120" s="14" t="n"/>
      <c r="C120" s="26" t="n"/>
      <c r="D120" s="17" t="n"/>
      <c r="E120" s="26" t="n"/>
      <c r="F120" s="26" t="n"/>
      <c r="G120" s="26" t="n"/>
      <c r="H120" s="26">
        <f>E120*D120</f>
        <v/>
      </c>
      <c r="I120" s="26">
        <f>H120-C120*D120</f>
        <v/>
      </c>
    </row>
    <row r="121" hidden="1" ht="21" customHeight="1" s="8">
      <c r="A121" s="14" t="n">
        <v>120</v>
      </c>
      <c r="B121" s="14" t="n"/>
      <c r="C121" s="26" t="n"/>
      <c r="D121" s="17" t="n"/>
      <c r="E121" s="26" t="n"/>
      <c r="F121" s="26" t="n"/>
      <c r="G121" s="26" t="n"/>
      <c r="H121" s="26">
        <f>E121*D121</f>
        <v/>
      </c>
      <c r="I121" s="26">
        <f>H121-C121*D121</f>
        <v/>
      </c>
    </row>
    <row r="122" hidden="1" ht="21" customHeight="1" s="8">
      <c r="A122" s="14" t="n">
        <v>121</v>
      </c>
      <c r="B122" s="14" t="n"/>
      <c r="C122" s="26" t="n"/>
      <c r="D122" s="17" t="n"/>
      <c r="E122" s="26" t="n"/>
      <c r="F122" s="26" t="n"/>
      <c r="G122" s="26" t="n"/>
      <c r="H122" s="26">
        <f>E122*D122</f>
        <v/>
      </c>
      <c r="I122" s="26">
        <f>H122-C122*D122</f>
        <v/>
      </c>
    </row>
    <row r="123" hidden="1" ht="21" customHeight="1" s="8">
      <c r="A123" s="14" t="n">
        <v>122</v>
      </c>
      <c r="B123" s="14" t="n"/>
      <c r="C123" s="26" t="n"/>
      <c r="D123" s="17" t="n"/>
      <c r="E123" s="26" t="n"/>
      <c r="F123" s="26" t="n"/>
      <c r="G123" s="26" t="n"/>
      <c r="H123" s="26">
        <f>E123*D123</f>
        <v/>
      </c>
      <c r="I123" s="26">
        <f>H123-C123*D123</f>
        <v/>
      </c>
    </row>
    <row r="124" hidden="1" ht="21" customHeight="1" s="8">
      <c r="A124" s="14" t="n">
        <v>123</v>
      </c>
      <c r="B124" s="14" t="n"/>
      <c r="C124" s="26" t="n"/>
      <c r="D124" s="17" t="n"/>
      <c r="E124" s="26" t="n"/>
      <c r="F124" s="26" t="n"/>
      <c r="G124" s="26" t="n"/>
      <c r="H124" s="26">
        <f>E124*D124</f>
        <v/>
      </c>
      <c r="I124" s="26">
        <f>H124-C124*D124</f>
        <v/>
      </c>
    </row>
    <row r="125" hidden="1" ht="21" customHeight="1" s="8">
      <c r="A125" s="14" t="n">
        <v>124</v>
      </c>
      <c r="B125" s="14" t="n"/>
      <c r="C125" s="26" t="n"/>
      <c r="D125" s="17" t="n"/>
      <c r="E125" s="26" t="n"/>
      <c r="F125" s="26" t="n"/>
      <c r="G125" s="26" t="n"/>
      <c r="H125" s="26">
        <f>E125*D125</f>
        <v/>
      </c>
      <c r="I125" s="26">
        <f>H125-C125*D125</f>
        <v/>
      </c>
    </row>
    <row r="126" hidden="1" ht="21" customHeight="1" s="8">
      <c r="A126" s="14" t="n">
        <v>125</v>
      </c>
      <c r="B126" s="14" t="n"/>
      <c r="C126" s="26" t="n"/>
      <c r="D126" s="17" t="n"/>
      <c r="E126" s="26" t="n"/>
      <c r="F126" s="26" t="n"/>
      <c r="G126" s="26" t="n"/>
      <c r="H126" s="26">
        <f>E126*D126</f>
        <v/>
      </c>
      <c r="I126" s="26">
        <f>H126-C126*D126</f>
        <v/>
      </c>
    </row>
    <row r="127" hidden="1" ht="21" customHeight="1" s="8">
      <c r="A127" s="14" t="n">
        <v>126</v>
      </c>
      <c r="B127" s="14" t="n"/>
      <c r="C127" s="26" t="n"/>
      <c r="D127" s="17" t="n"/>
      <c r="E127" s="26" t="n"/>
      <c r="F127" s="26" t="n"/>
      <c r="G127" s="26" t="n"/>
      <c r="H127" s="26">
        <f>E127*D127</f>
        <v/>
      </c>
      <c r="I127" s="26">
        <f>H127-C127*D127</f>
        <v/>
      </c>
    </row>
    <row r="128" hidden="1" ht="21" customHeight="1" s="8">
      <c r="A128" s="14" t="n">
        <v>127</v>
      </c>
      <c r="B128" s="14" t="n"/>
      <c r="C128" s="26" t="n"/>
      <c r="D128" s="17" t="n"/>
      <c r="E128" s="26" t="n"/>
      <c r="F128" s="26" t="n"/>
      <c r="G128" s="26" t="n"/>
      <c r="H128" s="26">
        <f>E128*D128</f>
        <v/>
      </c>
      <c r="I128" s="26">
        <f>H128-C128*D128</f>
        <v/>
      </c>
    </row>
    <row r="129" hidden="1" ht="21" customHeight="1" s="8">
      <c r="A129" s="14" t="n">
        <v>128</v>
      </c>
      <c r="B129" s="14" t="n"/>
      <c r="C129" s="26" t="n"/>
      <c r="D129" s="17" t="n"/>
      <c r="E129" s="26" t="n"/>
      <c r="F129" s="26" t="n"/>
      <c r="G129" s="26" t="n"/>
      <c r="H129" s="26">
        <f>E129*D129</f>
        <v/>
      </c>
      <c r="I129" s="26">
        <f>H129-C129*D129</f>
        <v/>
      </c>
    </row>
    <row r="130" hidden="1" ht="21" customHeight="1" s="8">
      <c r="A130" s="14" t="n">
        <v>129</v>
      </c>
      <c r="B130" s="14" t="n"/>
      <c r="C130" s="26" t="n"/>
      <c r="D130" s="17" t="n"/>
      <c r="E130" s="26" t="n"/>
      <c r="F130" s="26" t="n"/>
      <c r="G130" s="26" t="n"/>
      <c r="H130" s="26">
        <f>E130*D130</f>
        <v/>
      </c>
      <c r="I130" s="26">
        <f>H130-C130*D130</f>
        <v/>
      </c>
    </row>
    <row r="131" hidden="1" ht="21" customHeight="1" s="8">
      <c r="A131" s="14" t="n">
        <v>130</v>
      </c>
      <c r="B131" s="14" t="n"/>
      <c r="C131" s="26" t="n"/>
      <c r="D131" s="17" t="n"/>
      <c r="E131" s="26" t="n"/>
      <c r="F131" s="26" t="n"/>
      <c r="G131" s="26" t="n"/>
      <c r="H131" s="26">
        <f>E131*D131</f>
        <v/>
      </c>
      <c r="I131" s="26">
        <f>H131-C131*D131</f>
        <v/>
      </c>
    </row>
    <row r="132" hidden="1" ht="21" customHeight="1" s="8">
      <c r="A132" s="14" t="n">
        <v>131</v>
      </c>
      <c r="B132" s="14" t="n"/>
      <c r="C132" s="26" t="n"/>
      <c r="D132" s="17" t="n"/>
      <c r="E132" s="26" t="n"/>
      <c r="F132" s="26" t="n"/>
      <c r="G132" s="26" t="n"/>
      <c r="H132" s="26">
        <f>E132*D132</f>
        <v/>
      </c>
      <c r="I132" s="26">
        <f>H132-C132*D132</f>
        <v/>
      </c>
    </row>
    <row r="133" hidden="1" ht="21" customHeight="1" s="8">
      <c r="A133" s="14" t="n">
        <v>132</v>
      </c>
      <c r="B133" s="14" t="n"/>
      <c r="C133" s="26" t="n"/>
      <c r="D133" s="17" t="n"/>
      <c r="E133" s="26" t="n"/>
      <c r="F133" s="26" t="n"/>
      <c r="G133" s="26" t="n"/>
      <c r="H133" s="26">
        <f>E133*D133</f>
        <v/>
      </c>
      <c r="I133" s="26">
        <f>H133-C133*D133</f>
        <v/>
      </c>
    </row>
    <row r="134" hidden="1" ht="21" customHeight="1" s="8">
      <c r="A134" s="14" t="n">
        <v>133</v>
      </c>
      <c r="B134" s="14" t="n"/>
      <c r="C134" s="26" t="n"/>
      <c r="D134" s="17" t="n"/>
      <c r="E134" s="26" t="n"/>
      <c r="F134" s="26" t="n"/>
      <c r="G134" s="26" t="n"/>
      <c r="H134" s="26">
        <f>E134*D134</f>
        <v/>
      </c>
      <c r="I134" s="26">
        <f>H134-C134*D134</f>
        <v/>
      </c>
    </row>
    <row r="135" hidden="1" ht="21" customHeight="1" s="8">
      <c r="A135" s="14" t="n">
        <v>134</v>
      </c>
      <c r="B135" s="14" t="n"/>
      <c r="C135" s="26" t="n"/>
      <c r="D135" s="17" t="n"/>
      <c r="E135" s="26" t="n"/>
      <c r="F135" s="26" t="n"/>
      <c r="G135" s="26" t="n"/>
      <c r="H135" s="26">
        <f>E135*D135</f>
        <v/>
      </c>
      <c r="I135" s="26">
        <f>H135-C135*D135</f>
        <v/>
      </c>
    </row>
    <row r="136" hidden="1" ht="21" customHeight="1" s="8">
      <c r="A136" s="14" t="n">
        <v>135</v>
      </c>
      <c r="B136" s="14" t="n"/>
      <c r="C136" s="26" t="n"/>
      <c r="D136" s="17" t="n"/>
      <c r="E136" s="26" t="n"/>
      <c r="F136" s="26" t="n"/>
      <c r="G136" s="26" t="n"/>
      <c r="H136" s="26">
        <f>E136*D136</f>
        <v/>
      </c>
      <c r="I136" s="26">
        <f>H136-C136*D136</f>
        <v/>
      </c>
    </row>
    <row r="137" hidden="1" ht="21" customHeight="1" s="8">
      <c r="A137" s="14" t="n">
        <v>136</v>
      </c>
      <c r="B137" s="14" t="n"/>
      <c r="C137" s="26" t="n"/>
      <c r="D137" s="17" t="n"/>
      <c r="E137" s="26" t="n"/>
      <c r="F137" s="26" t="n"/>
      <c r="G137" s="26" t="n"/>
      <c r="H137" s="26">
        <f>E137*D137</f>
        <v/>
      </c>
      <c r="I137" s="26">
        <f>H137-C137*D137</f>
        <v/>
      </c>
    </row>
    <row r="138" hidden="1" ht="21" customHeight="1" s="8">
      <c r="A138" s="14" t="n">
        <v>137</v>
      </c>
      <c r="B138" s="14" t="n"/>
      <c r="C138" s="26" t="n"/>
      <c r="D138" s="17" t="n"/>
      <c r="E138" s="26" t="n"/>
      <c r="F138" s="26" t="n"/>
      <c r="G138" s="26" t="n"/>
      <c r="H138" s="26">
        <f>E138*D138</f>
        <v/>
      </c>
      <c r="I138" s="26">
        <f>H138-C138*D138</f>
        <v/>
      </c>
    </row>
    <row r="139" hidden="1" ht="21" customHeight="1" s="8">
      <c r="A139" s="14" t="n">
        <v>138</v>
      </c>
      <c r="B139" s="14" t="n"/>
      <c r="C139" s="26" t="n"/>
      <c r="D139" s="17" t="n"/>
      <c r="E139" s="26" t="n"/>
      <c r="F139" s="26" t="n"/>
      <c r="G139" s="26" t="n"/>
      <c r="H139" s="26">
        <f>E139*D139</f>
        <v/>
      </c>
      <c r="I139" s="26">
        <f>H139-C139*D139</f>
        <v/>
      </c>
    </row>
    <row r="140" hidden="1" ht="21" customHeight="1" s="8">
      <c r="A140" s="14" t="n">
        <v>139</v>
      </c>
      <c r="B140" s="14" t="n"/>
      <c r="C140" s="26" t="n"/>
      <c r="D140" s="17" t="n"/>
      <c r="E140" s="26" t="n"/>
      <c r="F140" s="26" t="n"/>
      <c r="G140" s="26" t="n"/>
      <c r="H140" s="26">
        <f>E140*D140</f>
        <v/>
      </c>
      <c r="I140" s="26">
        <f>H140-C140*D140</f>
        <v/>
      </c>
    </row>
    <row r="141" hidden="1" ht="21" customHeight="1" s="8">
      <c r="A141" s="14" t="n">
        <v>140</v>
      </c>
      <c r="B141" s="14" t="n"/>
      <c r="C141" s="26" t="n"/>
      <c r="D141" s="17" t="n"/>
      <c r="E141" s="26" t="n"/>
      <c r="F141" s="26" t="n"/>
      <c r="G141" s="26" t="n"/>
      <c r="H141" s="26">
        <f>E141*D141</f>
        <v/>
      </c>
      <c r="I141" s="26">
        <f>H141-C141*D141</f>
        <v/>
      </c>
    </row>
    <row r="142" hidden="1" ht="21" customHeight="1" s="8">
      <c r="A142" s="14" t="n">
        <v>141</v>
      </c>
      <c r="B142" s="14" t="n"/>
      <c r="C142" s="26" t="n"/>
      <c r="D142" s="17" t="n"/>
      <c r="E142" s="26" t="n"/>
      <c r="F142" s="26" t="n"/>
      <c r="G142" s="26" t="n"/>
      <c r="H142" s="26">
        <f>E142*D142</f>
        <v/>
      </c>
      <c r="I142" s="26">
        <f>H142-C142*D142</f>
        <v/>
      </c>
    </row>
    <row r="143" hidden="1" ht="21" customHeight="1" s="8">
      <c r="A143" s="14" t="n">
        <v>142</v>
      </c>
      <c r="B143" s="14" t="n"/>
      <c r="C143" s="26" t="n"/>
      <c r="D143" s="17" t="n"/>
      <c r="E143" s="26" t="n"/>
      <c r="F143" s="26" t="n"/>
      <c r="G143" s="26" t="n"/>
      <c r="H143" s="26">
        <f>E143*D143</f>
        <v/>
      </c>
      <c r="I143" s="26">
        <f>H143-C143*D143</f>
        <v/>
      </c>
    </row>
    <row r="144" hidden="1" ht="21" customHeight="1" s="8">
      <c r="A144" s="14" t="n">
        <v>143</v>
      </c>
      <c r="B144" s="14" t="n"/>
      <c r="C144" s="26" t="n"/>
      <c r="D144" s="17" t="n"/>
      <c r="E144" s="26" t="n"/>
      <c r="F144" s="26" t="n"/>
      <c r="G144" s="26" t="n"/>
      <c r="H144" s="26">
        <f>E144*D144</f>
        <v/>
      </c>
      <c r="I144" s="26">
        <f>H144-C144*D144</f>
        <v/>
      </c>
    </row>
    <row r="145" hidden="1" ht="21" customHeight="1" s="8">
      <c r="A145" s="14" t="n">
        <v>144</v>
      </c>
      <c r="B145" s="14" t="n"/>
      <c r="C145" s="26" t="n"/>
      <c r="D145" s="17" t="n"/>
      <c r="E145" s="26" t="n"/>
      <c r="F145" s="26" t="n"/>
      <c r="G145" s="26" t="n"/>
      <c r="H145" s="26">
        <f>E145*D145</f>
        <v/>
      </c>
      <c r="I145" s="26">
        <f>H145-C145*D145</f>
        <v/>
      </c>
    </row>
    <row r="146" hidden="1" ht="21" customHeight="1" s="8">
      <c r="A146" s="14" t="n">
        <v>145</v>
      </c>
      <c r="B146" s="14" t="n"/>
      <c r="C146" s="26" t="n"/>
      <c r="D146" s="17" t="n"/>
      <c r="E146" s="26" t="n"/>
      <c r="F146" s="26" t="n"/>
      <c r="G146" s="26" t="n"/>
      <c r="H146" s="26">
        <f>E146*D146</f>
        <v/>
      </c>
      <c r="I146" s="26">
        <f>H146-C146*D146</f>
        <v/>
      </c>
    </row>
    <row r="147" hidden="1" ht="21" customHeight="1" s="8">
      <c r="A147" s="14" t="n">
        <v>146</v>
      </c>
      <c r="B147" s="14" t="n"/>
      <c r="C147" s="26" t="n"/>
      <c r="D147" s="17" t="n"/>
      <c r="E147" s="26" t="n"/>
      <c r="F147" s="26" t="n"/>
      <c r="G147" s="26" t="n"/>
      <c r="H147" s="26">
        <f>E147*D147</f>
        <v/>
      </c>
      <c r="I147" s="26">
        <f>H147-C147*D147</f>
        <v/>
      </c>
    </row>
    <row r="148" hidden="1" ht="21" customHeight="1" s="8">
      <c r="A148" s="14" t="n">
        <v>147</v>
      </c>
      <c r="B148" s="14" t="n"/>
      <c r="C148" s="26" t="n"/>
      <c r="D148" s="17" t="n"/>
      <c r="E148" s="26" t="n"/>
      <c r="F148" s="26" t="n"/>
      <c r="G148" s="26" t="n"/>
      <c r="H148" s="26">
        <f>E148*D148</f>
        <v/>
      </c>
      <c r="I148" s="26">
        <f>H148-C148*D148</f>
        <v/>
      </c>
    </row>
    <row r="149" hidden="1" ht="21" customHeight="1" s="8">
      <c r="A149" s="14" t="n">
        <v>148</v>
      </c>
      <c r="B149" s="14" t="n"/>
      <c r="C149" s="26" t="n"/>
      <c r="D149" s="17" t="n"/>
      <c r="E149" s="26" t="n"/>
      <c r="F149" s="26" t="n"/>
      <c r="G149" s="26" t="n"/>
      <c r="H149" s="26">
        <f>E149*D149</f>
        <v/>
      </c>
      <c r="I149" s="26">
        <f>H149-C149*D149</f>
        <v/>
      </c>
    </row>
    <row r="150" hidden="1" ht="21" customHeight="1" s="8">
      <c r="A150" s="14" t="n">
        <v>149</v>
      </c>
      <c r="B150" s="14" t="n"/>
      <c r="C150" s="26" t="n"/>
      <c r="D150" s="17" t="n"/>
      <c r="E150" s="26" t="n"/>
      <c r="F150" s="26" t="n"/>
      <c r="G150" s="26" t="n"/>
      <c r="H150" s="26">
        <f>E150*D150</f>
        <v/>
      </c>
      <c r="I150" s="26">
        <f>H150-C150*D150</f>
        <v/>
      </c>
    </row>
    <row r="151" hidden="1" ht="21" customHeight="1" s="8">
      <c r="A151" s="14" t="n">
        <v>150</v>
      </c>
      <c r="B151" s="14" t="n"/>
      <c r="C151" s="26" t="n"/>
      <c r="D151" s="17" t="n"/>
      <c r="E151" s="26" t="n"/>
      <c r="F151" s="26" t="n"/>
      <c r="G151" s="26" t="n"/>
      <c r="H151" s="26">
        <f>E151*D151</f>
        <v/>
      </c>
      <c r="I151" s="26">
        <f>H151-C151*D151</f>
        <v/>
      </c>
    </row>
    <row r="152" hidden="1" ht="21" customHeight="1" s="8">
      <c r="A152" s="14" t="n">
        <v>151</v>
      </c>
      <c r="B152" s="14" t="n"/>
      <c r="C152" s="26" t="n"/>
      <c r="D152" s="17" t="n"/>
      <c r="E152" s="26" t="n"/>
      <c r="F152" s="26" t="n"/>
      <c r="G152" s="26" t="n"/>
      <c r="H152" s="26">
        <f>E152*D152</f>
        <v/>
      </c>
      <c r="I152" s="26">
        <f>H152-C152*D152</f>
        <v/>
      </c>
    </row>
    <row r="153" hidden="1" ht="21" customHeight="1" s="8">
      <c r="A153" s="14" t="n">
        <v>152</v>
      </c>
      <c r="B153" s="14" t="n"/>
      <c r="C153" s="26" t="n"/>
      <c r="D153" s="17" t="n"/>
      <c r="E153" s="26" t="n"/>
      <c r="F153" s="26" t="n"/>
      <c r="G153" s="26" t="n"/>
      <c r="H153" s="26">
        <f>E153*D153</f>
        <v/>
      </c>
      <c r="I153" s="26">
        <f>H153-C153*D153</f>
        <v/>
      </c>
    </row>
    <row r="154" hidden="1" ht="21" customHeight="1" s="8">
      <c r="A154" s="14" t="n">
        <v>153</v>
      </c>
      <c r="B154" s="14" t="n"/>
      <c r="C154" s="26" t="n"/>
      <c r="D154" s="17" t="n"/>
      <c r="E154" s="26" t="n"/>
      <c r="F154" s="26" t="n"/>
      <c r="G154" s="26" t="n"/>
      <c r="H154" s="26">
        <f>E154*D154</f>
        <v/>
      </c>
      <c r="I154" s="26">
        <f>H154-C154*D154</f>
        <v/>
      </c>
    </row>
    <row r="155" hidden="1" ht="21" customHeight="1" s="8">
      <c r="A155" s="14" t="n">
        <v>154</v>
      </c>
      <c r="B155" s="14" t="n"/>
      <c r="C155" s="26" t="n"/>
      <c r="D155" s="17" t="n"/>
      <c r="E155" s="26" t="n"/>
      <c r="F155" s="26" t="n"/>
      <c r="G155" s="26" t="n"/>
      <c r="H155" s="26">
        <f>E155*D155</f>
        <v/>
      </c>
      <c r="I155" s="26">
        <f>H155-C155*D155</f>
        <v/>
      </c>
    </row>
    <row r="156" hidden="1" ht="21" customHeight="1" s="8">
      <c r="A156" s="14" t="n">
        <v>155</v>
      </c>
      <c r="B156" s="14" t="n"/>
      <c r="C156" s="26" t="n"/>
      <c r="D156" s="17" t="n"/>
      <c r="E156" s="26" t="n"/>
      <c r="F156" s="26" t="n"/>
      <c r="G156" s="26" t="n"/>
      <c r="H156" s="26">
        <f>E156*D156</f>
        <v/>
      </c>
      <c r="I156" s="26">
        <f>H156-C156*D156</f>
        <v/>
      </c>
    </row>
    <row r="157" hidden="1" ht="21" customHeight="1" s="8">
      <c r="A157" s="14" t="n">
        <v>156</v>
      </c>
      <c r="B157" s="14" t="n"/>
      <c r="C157" s="26" t="n"/>
      <c r="D157" s="17" t="n"/>
      <c r="E157" s="26" t="n"/>
      <c r="F157" s="26" t="n"/>
      <c r="G157" s="26" t="n"/>
      <c r="H157" s="26">
        <f>E157*D157</f>
        <v/>
      </c>
      <c r="I157" s="26">
        <f>H157-C157*D157</f>
        <v/>
      </c>
    </row>
    <row r="158" hidden="1" ht="21" customHeight="1" s="8">
      <c r="A158" s="14" t="n">
        <v>157</v>
      </c>
      <c r="B158" s="14" t="n"/>
      <c r="C158" s="26" t="n"/>
      <c r="D158" s="17" t="n"/>
      <c r="E158" s="26" t="n"/>
      <c r="F158" s="26" t="n"/>
      <c r="G158" s="26" t="n"/>
      <c r="H158" s="26">
        <f>E158*D158</f>
        <v/>
      </c>
      <c r="I158" s="26">
        <f>H158-C158*D158</f>
        <v/>
      </c>
    </row>
    <row r="159" hidden="1" ht="21" customHeight="1" s="8">
      <c r="A159" s="14" t="n">
        <v>158</v>
      </c>
      <c r="B159" s="14" t="n"/>
      <c r="C159" s="26" t="n"/>
      <c r="D159" s="17" t="n"/>
      <c r="E159" s="26" t="n"/>
      <c r="F159" s="26" t="n"/>
      <c r="G159" s="26" t="n"/>
      <c r="H159" s="26">
        <f>E159*D159</f>
        <v/>
      </c>
      <c r="I159" s="26">
        <f>H159-C159*D159</f>
        <v/>
      </c>
    </row>
    <row r="160" hidden="1" ht="21" customHeight="1" s="8">
      <c r="A160" s="14" t="n">
        <v>159</v>
      </c>
      <c r="B160" s="14" t="n"/>
      <c r="C160" s="26" t="n"/>
      <c r="D160" s="17" t="n"/>
      <c r="E160" s="26" t="n"/>
      <c r="F160" s="26" t="n"/>
      <c r="G160" s="26" t="n"/>
      <c r="H160" s="26">
        <f>E160*D160</f>
        <v/>
      </c>
      <c r="I160" s="26">
        <f>H160-C160*D160</f>
        <v/>
      </c>
    </row>
    <row r="161" hidden="1" ht="21" customHeight="1" s="8">
      <c r="A161" s="14" t="n">
        <v>160</v>
      </c>
      <c r="B161" s="14" t="n"/>
      <c r="C161" s="26" t="n"/>
      <c r="D161" s="17" t="n"/>
      <c r="E161" s="26" t="n"/>
      <c r="F161" s="26" t="n"/>
      <c r="G161" s="26" t="n"/>
      <c r="H161" s="26">
        <f>E161*D161</f>
        <v/>
      </c>
      <c r="I161" s="26">
        <f>H161-C161*D161</f>
        <v/>
      </c>
    </row>
    <row r="162" hidden="1" ht="21" customHeight="1" s="8">
      <c r="A162" s="14" t="n">
        <v>161</v>
      </c>
      <c r="B162" s="14" t="n"/>
      <c r="C162" s="26" t="n"/>
      <c r="D162" s="17" t="n"/>
      <c r="E162" s="26" t="n"/>
      <c r="F162" s="26" t="n"/>
      <c r="G162" s="26" t="n"/>
      <c r="H162" s="26">
        <f>E162*D162</f>
        <v/>
      </c>
      <c r="I162" s="26">
        <f>H162-C162*D162</f>
        <v/>
      </c>
    </row>
    <row r="163" hidden="1" ht="21" customHeight="1" s="8">
      <c r="A163" s="14" t="n">
        <v>162</v>
      </c>
      <c r="B163" s="14" t="n"/>
      <c r="C163" s="26" t="n"/>
      <c r="D163" s="17" t="n"/>
      <c r="E163" s="26" t="n"/>
      <c r="F163" s="26" t="n"/>
      <c r="G163" s="26" t="n"/>
      <c r="H163" s="26">
        <f>E163*D163</f>
        <v/>
      </c>
      <c r="I163" s="26">
        <f>H163-C163*D163</f>
        <v/>
      </c>
    </row>
    <row r="164" hidden="1" ht="21" customHeight="1" s="8">
      <c r="A164" s="14" t="n">
        <v>163</v>
      </c>
      <c r="B164" s="14" t="n"/>
      <c r="C164" s="26" t="n"/>
      <c r="D164" s="17" t="n"/>
      <c r="E164" s="26" t="n"/>
      <c r="F164" s="26" t="n"/>
      <c r="G164" s="26" t="n"/>
      <c r="H164" s="26">
        <f>E164*D164</f>
        <v/>
      </c>
      <c r="I164" s="26">
        <f>H164-C164*D164</f>
        <v/>
      </c>
    </row>
    <row r="165" hidden="1" ht="21" customHeight="1" s="8">
      <c r="A165" s="14" t="n">
        <v>164</v>
      </c>
      <c r="B165" s="14" t="n"/>
      <c r="C165" s="26" t="n"/>
      <c r="D165" s="17" t="n"/>
      <c r="E165" s="26" t="n"/>
      <c r="F165" s="26" t="n"/>
      <c r="G165" s="26" t="n"/>
      <c r="H165" s="26">
        <f>E165*D165</f>
        <v/>
      </c>
      <c r="I165" s="26">
        <f>H165-C165*D165</f>
        <v/>
      </c>
    </row>
    <row r="166" hidden="1" ht="21" customHeight="1" s="8">
      <c r="A166" s="14" t="n">
        <v>165</v>
      </c>
      <c r="B166" s="14" t="n"/>
      <c r="C166" s="26" t="n"/>
      <c r="D166" s="17" t="n"/>
      <c r="E166" s="26" t="n"/>
      <c r="F166" s="26" t="n"/>
      <c r="G166" s="26" t="n"/>
      <c r="H166" s="26">
        <f>E166*D166</f>
        <v/>
      </c>
      <c r="I166" s="26">
        <f>H166-C166*D166</f>
        <v/>
      </c>
    </row>
    <row r="167" hidden="1" ht="21" customHeight="1" s="8">
      <c r="A167" s="14" t="n">
        <v>166</v>
      </c>
      <c r="B167" s="14" t="n"/>
      <c r="C167" s="26" t="n"/>
      <c r="D167" s="17" t="n"/>
      <c r="E167" s="26" t="n"/>
      <c r="F167" s="26" t="n"/>
      <c r="G167" s="26" t="n"/>
      <c r="H167" s="26">
        <f>E167*D167</f>
        <v/>
      </c>
      <c r="I167" s="26">
        <f>H167-C167*D167</f>
        <v/>
      </c>
    </row>
    <row r="168" hidden="1" ht="21" customHeight="1" s="8">
      <c r="A168" s="14" t="n">
        <v>167</v>
      </c>
      <c r="B168" s="14" t="n"/>
      <c r="C168" s="26" t="n"/>
      <c r="D168" s="17" t="n"/>
      <c r="E168" s="26" t="n"/>
      <c r="F168" s="26" t="n"/>
      <c r="G168" s="26" t="n"/>
      <c r="H168" s="26">
        <f>E168*D168</f>
        <v/>
      </c>
      <c r="I168" s="26">
        <f>H168-C168*D168</f>
        <v/>
      </c>
    </row>
    <row r="169" hidden="1" ht="21" customHeight="1" s="8">
      <c r="A169" s="14" t="n">
        <v>168</v>
      </c>
      <c r="B169" s="14" t="n"/>
      <c r="C169" s="26" t="n"/>
      <c r="D169" s="17" t="n"/>
      <c r="E169" s="26" t="n"/>
      <c r="F169" s="26" t="n"/>
      <c r="G169" s="26" t="n"/>
      <c r="H169" s="26">
        <f>E169*D169</f>
        <v/>
      </c>
      <c r="I169" s="26">
        <f>H169-C169*D169</f>
        <v/>
      </c>
    </row>
    <row r="170" hidden="1" ht="21" customHeight="1" s="8">
      <c r="A170" s="14" t="n">
        <v>169</v>
      </c>
      <c r="B170" s="14" t="n"/>
      <c r="C170" s="26" t="n"/>
      <c r="D170" s="17" t="n"/>
      <c r="E170" s="26" t="n"/>
      <c r="F170" s="26" t="n"/>
      <c r="G170" s="26" t="n"/>
      <c r="H170" s="26">
        <f>E170*D170</f>
        <v/>
      </c>
      <c r="I170" s="26">
        <f>H170-C170*D170</f>
        <v/>
      </c>
    </row>
    <row r="171" hidden="1" ht="21" customHeight="1" s="8">
      <c r="A171" s="14" t="n">
        <v>170</v>
      </c>
      <c r="B171" s="14" t="n"/>
      <c r="C171" s="26" t="n"/>
      <c r="D171" s="17" t="n"/>
      <c r="E171" s="26" t="n"/>
      <c r="F171" s="26" t="n"/>
      <c r="G171" s="26" t="n"/>
      <c r="H171" s="26">
        <f>E171*D171</f>
        <v/>
      </c>
      <c r="I171" s="26">
        <f>H171-C171*D171</f>
        <v/>
      </c>
    </row>
    <row r="172" hidden="1" ht="21" customHeight="1" s="8">
      <c r="A172" s="14" t="n">
        <v>171</v>
      </c>
      <c r="B172" s="14" t="n"/>
      <c r="C172" s="26" t="n"/>
      <c r="D172" s="17" t="n"/>
      <c r="E172" s="26" t="n"/>
      <c r="F172" s="26" t="n"/>
      <c r="G172" s="26" t="n"/>
      <c r="H172" s="26">
        <f>E172*D172</f>
        <v/>
      </c>
      <c r="I172" s="26">
        <f>H172-C172*D172</f>
        <v/>
      </c>
    </row>
    <row r="173" hidden="1" ht="21" customHeight="1" s="8">
      <c r="A173" s="14" t="n">
        <v>172</v>
      </c>
      <c r="B173" s="14" t="n"/>
      <c r="C173" s="26" t="n"/>
      <c r="D173" s="17" t="n"/>
      <c r="E173" s="26" t="n"/>
      <c r="F173" s="26" t="n"/>
      <c r="G173" s="26" t="n"/>
      <c r="H173" s="26">
        <f>E173*D173</f>
        <v/>
      </c>
      <c r="I173" s="26">
        <f>H173-C173*D173</f>
        <v/>
      </c>
    </row>
    <row r="174" hidden="1" ht="21" customHeight="1" s="8">
      <c r="A174" s="14" t="n">
        <v>173</v>
      </c>
      <c r="B174" s="14" t="n"/>
      <c r="C174" s="26" t="n"/>
      <c r="D174" s="17" t="n"/>
      <c r="E174" s="26" t="n"/>
      <c r="F174" s="26" t="n"/>
      <c r="G174" s="26" t="n"/>
      <c r="H174" s="26">
        <f>E174*D174</f>
        <v/>
      </c>
      <c r="I174" s="26">
        <f>H174-C174*D174</f>
        <v/>
      </c>
    </row>
    <row r="175" hidden="1" ht="21" customHeight="1" s="8">
      <c r="A175" s="14" t="n">
        <v>174</v>
      </c>
      <c r="B175" s="14" t="n"/>
      <c r="C175" s="26" t="n"/>
      <c r="D175" s="17" t="n"/>
      <c r="E175" s="26" t="n"/>
      <c r="F175" s="26" t="n"/>
      <c r="G175" s="26" t="n"/>
      <c r="H175" s="26">
        <f>E175*D175</f>
        <v/>
      </c>
      <c r="I175" s="26">
        <f>H175-C175*D175</f>
        <v/>
      </c>
    </row>
    <row r="176" hidden="1" ht="21" customHeight="1" s="8">
      <c r="A176" s="14" t="n">
        <v>175</v>
      </c>
      <c r="B176" s="14" t="n"/>
      <c r="C176" s="26" t="n"/>
      <c r="D176" s="17" t="n"/>
      <c r="E176" s="26" t="n"/>
      <c r="F176" s="26" t="n"/>
      <c r="G176" s="26" t="n"/>
      <c r="H176" s="26">
        <f>E176*D176</f>
        <v/>
      </c>
      <c r="I176" s="26">
        <f>H176-C176*D176</f>
        <v/>
      </c>
    </row>
    <row r="177" hidden="1" ht="21" customHeight="1" s="8">
      <c r="A177" s="14" t="n">
        <v>176</v>
      </c>
      <c r="B177" s="14" t="n"/>
      <c r="C177" s="26" t="n"/>
      <c r="D177" s="17" t="n"/>
      <c r="E177" s="26" t="n"/>
      <c r="F177" s="26" t="n"/>
      <c r="G177" s="26" t="n"/>
      <c r="H177" s="26">
        <f>E177*D177</f>
        <v/>
      </c>
      <c r="I177" s="26">
        <f>H177-C177*D177</f>
        <v/>
      </c>
    </row>
    <row r="178" hidden="1" ht="21" customHeight="1" s="8">
      <c r="A178" s="14" t="n">
        <v>177</v>
      </c>
      <c r="B178" s="14" t="n"/>
      <c r="C178" s="26" t="n"/>
      <c r="D178" s="17" t="n"/>
      <c r="E178" s="26" t="n"/>
      <c r="F178" s="26" t="n"/>
      <c r="G178" s="26" t="n"/>
      <c r="H178" s="26">
        <f>E178*D178</f>
        <v/>
      </c>
      <c r="I178" s="26">
        <f>H178-C178*D178</f>
        <v/>
      </c>
    </row>
    <row r="179" hidden="1" ht="21" customHeight="1" s="8">
      <c r="A179" s="14" t="n">
        <v>178</v>
      </c>
      <c r="B179" s="14" t="n"/>
      <c r="C179" s="26" t="n"/>
      <c r="D179" s="17" t="n"/>
      <c r="E179" s="26" t="n"/>
      <c r="F179" s="26" t="n"/>
      <c r="G179" s="26" t="n"/>
      <c r="H179" s="26">
        <f>E179*D179</f>
        <v/>
      </c>
      <c r="I179" s="26">
        <f>H179-C179*D179</f>
        <v/>
      </c>
    </row>
    <row r="180" hidden="1" ht="21" customHeight="1" s="8">
      <c r="A180" s="14" t="n">
        <v>179</v>
      </c>
      <c r="B180" s="14" t="n"/>
      <c r="C180" s="26" t="n"/>
      <c r="D180" s="17" t="n"/>
      <c r="E180" s="26" t="n"/>
      <c r="F180" s="26" t="n"/>
      <c r="G180" s="26" t="n"/>
      <c r="H180" s="26">
        <f>E180*D180</f>
        <v/>
      </c>
      <c r="I180" s="26">
        <f>H180-C180*D180</f>
        <v/>
      </c>
    </row>
    <row r="181" hidden="1" ht="21" customHeight="1" s="8">
      <c r="A181" s="14" t="n">
        <v>180</v>
      </c>
      <c r="B181" s="14" t="n"/>
      <c r="C181" s="26" t="n"/>
      <c r="D181" s="17" t="n"/>
      <c r="E181" s="26" t="n"/>
      <c r="F181" s="26" t="n"/>
      <c r="G181" s="26" t="n"/>
      <c r="H181" s="26">
        <f>E181*D181</f>
        <v/>
      </c>
      <c r="I181" s="26">
        <f>H181-C181*D181</f>
        <v/>
      </c>
    </row>
    <row r="182" hidden="1" ht="21" customHeight="1" s="8">
      <c r="A182" s="14" t="n">
        <v>181</v>
      </c>
      <c r="B182" s="14" t="n"/>
      <c r="C182" s="26" t="n"/>
      <c r="D182" s="17" t="n"/>
      <c r="E182" s="26" t="n"/>
      <c r="F182" s="26" t="n"/>
      <c r="G182" s="26" t="n"/>
      <c r="H182" s="26">
        <f>E182*D182</f>
        <v/>
      </c>
      <c r="I182" s="26">
        <f>H182-C182*D182</f>
        <v/>
      </c>
    </row>
    <row r="183" hidden="1" ht="21" customHeight="1" s="8">
      <c r="A183" s="14" t="n">
        <v>182</v>
      </c>
      <c r="B183" s="14" t="n"/>
      <c r="C183" s="26" t="n"/>
      <c r="D183" s="17" t="n"/>
      <c r="E183" s="26" t="n"/>
      <c r="F183" s="26" t="n"/>
      <c r="G183" s="26" t="n"/>
      <c r="H183" s="26">
        <f>E183*D183</f>
        <v/>
      </c>
      <c r="I183" s="26">
        <f>H183-C183*D183</f>
        <v/>
      </c>
    </row>
    <row r="184" hidden="1" ht="21" customHeight="1" s="8">
      <c r="A184" s="14" t="n">
        <v>183</v>
      </c>
      <c r="B184" s="14" t="n"/>
      <c r="C184" s="26" t="n"/>
      <c r="D184" s="17" t="n"/>
      <c r="E184" s="26" t="n"/>
      <c r="F184" s="26" t="n"/>
      <c r="G184" s="26" t="n"/>
      <c r="H184" s="26">
        <f>E184*D184</f>
        <v/>
      </c>
      <c r="I184" s="26">
        <f>H184-C184*D184</f>
        <v/>
      </c>
    </row>
    <row r="185" hidden="1" ht="21" customHeight="1" s="8">
      <c r="A185" s="14" t="n">
        <v>184</v>
      </c>
      <c r="B185" s="14" t="n"/>
      <c r="C185" s="26" t="n"/>
      <c r="D185" s="17" t="n"/>
      <c r="E185" s="26" t="n"/>
      <c r="F185" s="26" t="n"/>
      <c r="G185" s="26" t="n"/>
      <c r="H185" s="26">
        <f>E185*D185</f>
        <v/>
      </c>
      <c r="I185" s="26">
        <f>H185-C185*D185</f>
        <v/>
      </c>
    </row>
    <row r="186" hidden="1" ht="21" customHeight="1" s="8">
      <c r="A186" s="14" t="n">
        <v>185</v>
      </c>
      <c r="B186" s="14" t="n"/>
      <c r="C186" s="26" t="n"/>
      <c r="D186" s="17" t="n"/>
      <c r="E186" s="26" t="n"/>
      <c r="F186" s="26" t="n"/>
      <c r="G186" s="26" t="n"/>
      <c r="H186" s="26">
        <f>E186*D186</f>
        <v/>
      </c>
      <c r="I186" s="26">
        <f>H186-C186*D186</f>
        <v/>
      </c>
    </row>
    <row r="187" hidden="1" ht="21" customHeight="1" s="8">
      <c r="A187" s="14" t="n">
        <v>186</v>
      </c>
      <c r="B187" s="14" t="n"/>
      <c r="C187" s="26" t="n"/>
      <c r="D187" s="17" t="n"/>
      <c r="E187" s="26" t="n"/>
      <c r="F187" s="26" t="n"/>
      <c r="G187" s="26" t="n"/>
      <c r="H187" s="26">
        <f>E187*D187</f>
        <v/>
      </c>
      <c r="I187" s="26">
        <f>H187-C187*D187</f>
        <v/>
      </c>
    </row>
    <row r="188" hidden="1" ht="21" customHeight="1" s="8">
      <c r="A188" s="14" t="n">
        <v>187</v>
      </c>
      <c r="B188" s="14" t="n"/>
      <c r="C188" s="26" t="n"/>
      <c r="D188" s="17" t="n"/>
      <c r="E188" s="26" t="n"/>
      <c r="F188" s="26" t="n"/>
      <c r="G188" s="26" t="n"/>
      <c r="H188" s="26">
        <f>E188*D188</f>
        <v/>
      </c>
      <c r="I188" s="26">
        <f>H188-C188*D188</f>
        <v/>
      </c>
    </row>
    <row r="189" hidden="1" ht="21" customHeight="1" s="8">
      <c r="A189" s="14" t="n">
        <v>188</v>
      </c>
      <c r="B189" s="14" t="n"/>
      <c r="C189" s="26" t="n"/>
      <c r="D189" s="17" t="n"/>
      <c r="E189" s="26" t="n"/>
      <c r="F189" s="26" t="n"/>
      <c r="G189" s="26" t="n"/>
      <c r="H189" s="26">
        <f>E189*D189</f>
        <v/>
      </c>
      <c r="I189" s="26">
        <f>H189-C189*D189</f>
        <v/>
      </c>
    </row>
    <row r="190" hidden="1" ht="21" customHeight="1" s="8">
      <c r="A190" s="14" t="n">
        <v>189</v>
      </c>
      <c r="B190" s="14" t="n"/>
      <c r="C190" s="26" t="n"/>
      <c r="D190" s="17" t="n"/>
      <c r="E190" s="26" t="n"/>
      <c r="F190" s="26" t="n"/>
      <c r="G190" s="26" t="n"/>
      <c r="H190" s="26">
        <f>E190*D190</f>
        <v/>
      </c>
      <c r="I190" s="26">
        <f>H190-C190*D190</f>
        <v/>
      </c>
    </row>
    <row r="191" hidden="1" ht="21" customHeight="1" s="8">
      <c r="A191" s="14" t="n">
        <v>190</v>
      </c>
      <c r="B191" s="14" t="n"/>
      <c r="C191" s="26" t="n"/>
      <c r="D191" s="17" t="n"/>
      <c r="E191" s="26" t="n"/>
      <c r="F191" s="26" t="n"/>
      <c r="G191" s="26" t="n"/>
      <c r="H191" s="26">
        <f>E191*D191</f>
        <v/>
      </c>
      <c r="I191" s="26">
        <f>H191-C191*D191</f>
        <v/>
      </c>
    </row>
    <row r="192" hidden="1" ht="21" customHeight="1" s="8">
      <c r="A192" s="14" t="n">
        <v>191</v>
      </c>
      <c r="B192" s="14" t="n"/>
      <c r="C192" s="26" t="n"/>
      <c r="D192" s="17" t="n"/>
      <c r="E192" s="26" t="n"/>
      <c r="F192" s="26" t="n"/>
      <c r="G192" s="26" t="n"/>
      <c r="H192" s="26">
        <f>E192*D192</f>
        <v/>
      </c>
      <c r="I192" s="26">
        <f>H192-C192*D192</f>
        <v/>
      </c>
    </row>
    <row r="193" hidden="1" ht="21" customHeight="1" s="8">
      <c r="A193" s="14" t="n">
        <v>192</v>
      </c>
      <c r="B193" s="14" t="n"/>
      <c r="C193" s="26" t="n"/>
      <c r="D193" s="17" t="n"/>
      <c r="E193" s="26" t="n"/>
      <c r="F193" s="26" t="n"/>
      <c r="G193" s="26" t="n"/>
      <c r="H193" s="26">
        <f>E193*D193</f>
        <v/>
      </c>
      <c r="I193" s="26">
        <f>H193-C193*D193</f>
        <v/>
      </c>
    </row>
    <row r="194" hidden="1" ht="21" customHeight="1" s="8">
      <c r="A194" s="14" t="n">
        <v>193</v>
      </c>
      <c r="B194" s="14" t="n"/>
      <c r="C194" s="26" t="n"/>
      <c r="D194" s="17" t="n"/>
      <c r="E194" s="26" t="n"/>
      <c r="F194" s="26" t="n"/>
      <c r="G194" s="26" t="n"/>
      <c r="H194" s="26">
        <f>E194*D194</f>
        <v/>
      </c>
      <c r="I194" s="26">
        <f>H194-C194*D194</f>
        <v/>
      </c>
    </row>
    <row r="195" hidden="1" ht="21" customHeight="1" s="8">
      <c r="A195" s="14" t="n">
        <v>194</v>
      </c>
      <c r="B195" s="14" t="n"/>
      <c r="C195" s="26" t="n"/>
      <c r="D195" s="17" t="n"/>
      <c r="E195" s="26" t="n"/>
      <c r="F195" s="26" t="n"/>
      <c r="G195" s="26" t="n"/>
      <c r="H195" s="26">
        <f>E195*D195</f>
        <v/>
      </c>
      <c r="I195" s="26">
        <f>H195-C195*D195</f>
        <v/>
      </c>
    </row>
    <row r="196" hidden="1" ht="21" customHeight="1" s="8">
      <c r="A196" s="14" t="n">
        <v>195</v>
      </c>
      <c r="B196" s="14" t="n"/>
      <c r="C196" s="26" t="n"/>
      <c r="D196" s="17" t="n"/>
      <c r="E196" s="26" t="n"/>
      <c r="F196" s="26" t="n"/>
      <c r="G196" s="26" t="n"/>
      <c r="H196" s="26">
        <f>E196*D196</f>
        <v/>
      </c>
      <c r="I196" s="26">
        <f>H196-C196*D196</f>
        <v/>
      </c>
    </row>
    <row r="197" hidden="1" ht="21" customHeight="1" s="8">
      <c r="A197" s="14" t="n">
        <v>196</v>
      </c>
      <c r="B197" s="14" t="n"/>
      <c r="C197" s="26" t="n"/>
      <c r="D197" s="17" t="n"/>
      <c r="E197" s="26" t="n"/>
      <c r="F197" s="26" t="n"/>
      <c r="G197" s="26" t="n"/>
      <c r="H197" s="26">
        <f>E197*D197</f>
        <v/>
      </c>
      <c r="I197" s="26">
        <f>H197-C197*D197</f>
        <v/>
      </c>
    </row>
    <row r="198" hidden="1" ht="21" customHeight="1" s="8">
      <c r="A198" s="14" t="n">
        <v>197</v>
      </c>
      <c r="B198" s="14" t="n"/>
      <c r="C198" s="26" t="n"/>
      <c r="D198" s="17" t="n"/>
      <c r="E198" s="26" t="n"/>
      <c r="F198" s="26" t="n"/>
      <c r="G198" s="26" t="n"/>
      <c r="H198" s="26">
        <f>E198*D198</f>
        <v/>
      </c>
      <c r="I198" s="26">
        <f>H198-C198*D198</f>
        <v/>
      </c>
    </row>
    <row r="199" hidden="1" ht="21" customHeight="1" s="8">
      <c r="A199" s="14" t="n">
        <v>198</v>
      </c>
      <c r="B199" s="14" t="n"/>
      <c r="C199" s="26" t="n"/>
      <c r="D199" s="17" t="n"/>
      <c r="E199" s="26" t="n"/>
      <c r="F199" s="26" t="n"/>
      <c r="G199" s="26" t="n"/>
      <c r="H199" s="26">
        <f>E199*D199</f>
        <v/>
      </c>
      <c r="I199" s="26">
        <f>H199-C199*D199</f>
        <v/>
      </c>
    </row>
    <row r="200" hidden="1" ht="21" customHeight="1" s="8">
      <c r="A200" s="14" t="n">
        <v>199</v>
      </c>
      <c r="B200" s="14" t="n"/>
      <c r="C200" s="26" t="n"/>
      <c r="D200" s="17" t="n"/>
      <c r="E200" s="26" t="n"/>
      <c r="F200" s="26" t="n"/>
      <c r="G200" s="26" t="n"/>
      <c r="H200" s="26">
        <f>E200*D200</f>
        <v/>
      </c>
      <c r="I200" s="26">
        <f>H200-C200*D200</f>
        <v/>
      </c>
    </row>
    <row r="201" hidden="1" ht="21" customHeight="1" s="8">
      <c r="A201" s="14" t="n">
        <v>200</v>
      </c>
      <c r="B201" s="14" t="n"/>
      <c r="C201" s="26" t="n"/>
      <c r="D201" s="17" t="n"/>
      <c r="E201" s="26" t="n"/>
      <c r="F201" s="26" t="n"/>
      <c r="G201" s="26" t="n"/>
      <c r="H201" s="26">
        <f>E201*D201</f>
        <v/>
      </c>
      <c r="I201" s="26">
        <f>H201-C201*D201</f>
        <v/>
      </c>
    </row>
    <row r="202" ht="21" customHeight="1" s="8">
      <c r="A202" s="14" t="inlineStr">
        <is>
          <t>汇总</t>
        </is>
      </c>
      <c r="B202" s="20" t="n"/>
      <c r="C202" s="28" t="n"/>
      <c r="D202" s="22">
        <f>SUM(D2:D201)</f>
        <v/>
      </c>
      <c r="E202" s="28" t="n"/>
      <c r="F202" s="18">
        <f>I202/G202</f>
        <v/>
      </c>
      <c r="G202" s="26">
        <f>SUM(G2:G201)</f>
        <v/>
      </c>
      <c r="H202" s="26">
        <f>SUM(H2:H201)</f>
        <v/>
      </c>
      <c r="I202" s="26">
        <f>SUM(I2:I201)</f>
        <v/>
      </c>
    </row>
  </sheetData>
  <autoFilter ref="A1:I202"/>
  <mergeCells count="1">
    <mergeCell ref="A202:B202"/>
  </mergeCells>
  <conditionalFormatting sqref="L2">
    <cfRule type="cellIs" priority="2" operator="lessThan" dxfId="0">
      <formula>0</formula>
    </cfRule>
  </conditionalFormatting>
  <conditionalFormatting sqref="M2">
    <cfRule type="cellIs" priority="3" operator="equal" dxfId="0">
      <formula>"融资余额不足"</formula>
    </cfRule>
  </conditionalFormatting>
  <conditionalFormatting sqref="B1:B201 B203:B1048576">
    <cfRule type="duplicateValues" priority="1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autoPageBreaks="0"/>
  </sheetPr>
  <dimension ref="A1:L201"/>
  <sheetViews>
    <sheetView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9" defaultRowHeight="15" outlineLevelCol="0"/>
  <cols>
    <col width="4.75238095238095" customWidth="1" style="1" min="1" max="1"/>
    <col width="8.87619047619048" customWidth="1" style="1" min="2" max="2"/>
    <col width="8.87619047619048" customWidth="1" style="23" min="3" max="3"/>
    <col width="8.87619047619048" customWidth="1" style="1" min="4" max="4"/>
    <col width="8.87619047619048" customWidth="1" style="23" min="5" max="5"/>
    <col width="11.5047619047619" customWidth="1" style="23" min="6" max="6"/>
    <col width="10.247619047619" customWidth="1" style="1" min="7" max="7"/>
    <col width="23.3714285714286" customWidth="1" style="23" min="8" max="8"/>
    <col width="8.87619047619048" customWidth="1" style="1" min="9" max="9"/>
    <col width="11.3714285714286" customWidth="1" style="8" min="10" max="10"/>
    <col width="12.8761904761905" customWidth="1" style="8" min="11" max="11"/>
    <col width="10.8761904761905" customWidth="1" style="1" min="12" max="12"/>
  </cols>
  <sheetData>
    <row r="1" ht="27" customHeight="1" s="8">
      <c r="A1" s="9" t="inlineStr">
        <is>
          <t>交易单号</t>
        </is>
      </c>
      <c r="B1" s="9" t="inlineStr">
        <is>
          <t>股票名称</t>
        </is>
      </c>
      <c r="C1" s="29" t="inlineStr">
        <is>
          <t>成交价格</t>
        </is>
      </c>
      <c r="D1" s="9" t="inlineStr">
        <is>
          <t>成交股数</t>
        </is>
      </c>
      <c r="E1" s="29" t="inlineStr">
        <is>
          <t>手续费</t>
        </is>
      </c>
      <c r="F1" s="29" t="inlineStr">
        <is>
          <t>交易收支</t>
        </is>
      </c>
      <c r="G1" s="9" t="inlineStr">
        <is>
          <t>当前持仓股数</t>
        </is>
      </c>
      <c r="H1" s="25" t="inlineStr">
        <is>
          <t>交易许可</t>
        </is>
      </c>
      <c r="I1" s="11" t="n"/>
      <c r="J1" s="12" t="inlineStr">
        <is>
          <t>交易日期</t>
        </is>
      </c>
      <c r="K1" s="13">
        <f>TODAY()</f>
        <v/>
      </c>
      <c r="L1" s="11" t="n"/>
    </row>
    <row r="2">
      <c r="A2" s="6" t="n">
        <v>1</v>
      </c>
      <c r="B2" s="6" t="inlineStr">
        <is>
          <t>中芯国际</t>
        </is>
      </c>
      <c r="C2" s="27" t="n">
        <v>114.85</v>
      </c>
      <c r="D2" s="6" t="n">
        <v>-800</v>
      </c>
      <c r="E2" s="27">
        <f>IF(B2="","",IF(D2&lt;=0,-C2*D2*2.5/10000,C2*D2*12.5/10000))</f>
        <v/>
      </c>
      <c r="F2" s="27">
        <f>IF(B2="","",C2*D2-E2)</f>
        <v/>
      </c>
      <c r="G2" s="6">
        <f>IF(B2="","",IF(COUNTIF(盘中持仓!B:B,B2),VLOOKUP(B2,盘中持仓!B:D,3,0),0))</f>
        <v/>
      </c>
      <c r="H2" s="27">
        <f>IF(B2="","",IF(G2&lt;&gt;0,IF(G2&gt;0,"","交易超限"),"该股票未持仓，仅可买入"))</f>
        <v/>
      </c>
      <c r="J2" s="0" t="inlineStr">
        <is>
          <t>股票名称</t>
        </is>
      </c>
      <c r="K2" s="0" t="inlineStr">
        <is>
          <t>总卖出股数</t>
        </is>
      </c>
      <c r="L2" s="0" t="inlineStr">
        <is>
          <t>总盈亏</t>
        </is>
      </c>
    </row>
    <row r="3">
      <c r="A3" s="6" t="n">
        <v>2</v>
      </c>
      <c r="B3" s="6" t="n"/>
      <c r="C3" s="27" t="n"/>
      <c r="D3" s="6" t="n"/>
      <c r="E3" s="27">
        <f>IF(B3="","",IF(D3&lt;=0,-C3*D3*2.5/10000,C3*D3*12.5/10000))</f>
        <v/>
      </c>
      <c r="F3" s="27">
        <f>IF(B3="","",C3*D3-E3)</f>
        <v/>
      </c>
      <c r="G3" s="6">
        <f>IF(B3="","",IF(COUNTIF(盘中持仓!B:B,B3),VLOOKUP(B3,盘中持仓!B:D,3,0),0))</f>
        <v/>
      </c>
      <c r="H3" s="27">
        <f>IF(B3="","",IF(G3&lt;&gt;0,IF(G3&gt;0,"","交易超限"),"该股票未持仓，仅可买入"))</f>
        <v/>
      </c>
      <c r="J3" s="0" t="inlineStr">
        <is>
          <t>(空白)</t>
        </is>
      </c>
      <c r="L3" s="0" t="n">
        <v>0</v>
      </c>
    </row>
    <row r="4">
      <c r="A4" s="6" t="n">
        <v>3</v>
      </c>
      <c r="B4" s="6" t="n"/>
      <c r="C4" s="27" t="n"/>
      <c r="D4" s="6" t="n"/>
      <c r="E4" s="27">
        <f>IF(B4="","",IF(D4&lt;=0,-C4*D4*2.5/10000,C4*D4*12.5/10000))</f>
        <v/>
      </c>
      <c r="F4" s="27">
        <f>IF(B4="","",C4*D4-E4)</f>
        <v/>
      </c>
      <c r="G4" s="6">
        <f>IF(B4="","",IF(COUNTIF(盘中持仓!B:B,B4),VLOOKUP(B4,盘中持仓!B:D,3,0),0))</f>
        <v/>
      </c>
      <c r="H4" s="27">
        <f>IF(B4="","",IF(G4&lt;&gt;0,IF(G4&gt;0,"","交易超限"),"该股票未持仓，仅可买入"))</f>
        <v/>
      </c>
      <c r="J4" s="0" t="inlineStr">
        <is>
          <t>中芯国际</t>
        </is>
      </c>
      <c r="K4" s="0" t="n">
        <v>-800</v>
      </c>
      <c r="L4" s="0" t="n">
        <v>-91902.97</v>
      </c>
    </row>
    <row r="5">
      <c r="A5" s="6" t="n">
        <v>4</v>
      </c>
      <c r="B5" s="6" t="n"/>
      <c r="C5" s="27" t="n"/>
      <c r="D5" s="6" t="n"/>
      <c r="E5" s="27">
        <f>IF(B5="","",IF(D5&lt;=0,-C5*D5*2.5/10000,C5*D5*12.5/10000))</f>
        <v/>
      </c>
      <c r="F5" s="27">
        <f>IF(B5="","",C5*D5-E5)</f>
        <v/>
      </c>
      <c r="G5" s="6">
        <f>IF(B5="","",IF(COUNTIF(盘中持仓!B:B,B5),VLOOKUP(B5,盘中持仓!B:D,3,0),0))</f>
        <v/>
      </c>
      <c r="H5" s="27">
        <f>IF(B5="","",IF(G5&lt;&gt;0,IF(G5&gt;0,"","交易超限"),"该股票未持仓，仅可买入"))</f>
        <v/>
      </c>
      <c r="J5" s="0" t="inlineStr">
        <is>
          <t>总计</t>
        </is>
      </c>
      <c r="K5" s="0" t="n">
        <v>-800</v>
      </c>
      <c r="L5" s="0" t="n">
        <v>-91902.97</v>
      </c>
    </row>
    <row r="6">
      <c r="A6" s="6" t="n">
        <v>5</v>
      </c>
      <c r="B6" s="6" t="n"/>
      <c r="C6" s="27" t="n"/>
      <c r="D6" s="6" t="n"/>
      <c r="E6" s="27">
        <f>IF(B6="","",IF(D6&lt;=0,-C6*D6*2.5/10000,C6*D6*12.5/10000))</f>
        <v/>
      </c>
      <c r="F6" s="27">
        <f>IF(B6="","",C6*D6-E6)</f>
        <v/>
      </c>
      <c r="G6" s="6">
        <f>IF(B6="","",IF(COUNTIF(盘中持仓!B:B,B6),VLOOKUP(B6,盘中持仓!B:D,3,0),0))</f>
        <v/>
      </c>
      <c r="H6" s="27">
        <f>IF(B6="","",IF(G6&lt;&gt;0,IF(G6&gt;0,"","交易超限"),"该股票未持仓，仅可买入"))</f>
        <v/>
      </c>
      <c r="L6" s="0" t="n"/>
    </row>
    <row r="7">
      <c r="A7" s="6" t="n">
        <v>6</v>
      </c>
      <c r="B7" s="6" t="n"/>
      <c r="C7" s="27" t="n"/>
      <c r="D7" s="6" t="n"/>
      <c r="E7" s="27">
        <f>IF(B7="","",IF(D7&lt;=0,-C7*D7*2.5/10000,C7*D7*12.5/10000))</f>
        <v/>
      </c>
      <c r="F7" s="27">
        <f>IF(B7="","",C7*D7-E7)</f>
        <v/>
      </c>
      <c r="G7" s="6">
        <f>IF(B7="","",IF(COUNTIF(盘中持仓!B:B,B7),VLOOKUP(B7,盘中持仓!B:D,3,0),0))</f>
        <v/>
      </c>
      <c r="H7" s="27">
        <f>IF(B7="","",IF(G7&lt;&gt;0,IF(G7&gt;0,"","交易超限"),"该股票未持仓，仅可买入"))</f>
        <v/>
      </c>
      <c r="L7" s="0" t="n"/>
    </row>
    <row r="8">
      <c r="A8" s="6" t="n">
        <v>7</v>
      </c>
      <c r="B8" s="6" t="n"/>
      <c r="C8" s="27" t="n"/>
      <c r="D8" s="6" t="n"/>
      <c r="E8" s="27">
        <f>IF(B8="","",IF(D8&lt;=0,-C8*D8*2.5/10000,C8*D8*12.5/10000))</f>
        <v/>
      </c>
      <c r="F8" s="27">
        <f>IF(B8="","",C8*D8-E8)</f>
        <v/>
      </c>
      <c r="G8" s="6">
        <f>IF(B8="","",IF(COUNTIF(盘中持仓!B:B,B8),VLOOKUP(B8,盘中持仓!B:D,3,0),0))</f>
        <v/>
      </c>
      <c r="H8" s="27">
        <f>IF(B8="","",IF(G8&lt;&gt;0,IF(G8&gt;0,"","交易超限"),"该股票未持仓，仅可买入"))</f>
        <v/>
      </c>
      <c r="L8" s="0" t="n"/>
    </row>
    <row r="9">
      <c r="A9" s="6" t="n">
        <v>8</v>
      </c>
      <c r="B9" s="6" t="n"/>
      <c r="C9" s="27" t="n"/>
      <c r="D9" s="6" t="n"/>
      <c r="E9" s="27">
        <f>IF(B9="","",IF(D9&lt;=0,-C9*D9*2.5/10000,C9*D9*12.5/10000))</f>
        <v/>
      </c>
      <c r="F9" s="27">
        <f>IF(B9="","",C9*D9-E9)</f>
        <v/>
      </c>
      <c r="G9" s="6">
        <f>IF(B9="","",IF(COUNTIF(盘中持仓!B:B,B9),VLOOKUP(B9,盘中持仓!B:D,3,0),0))</f>
        <v/>
      </c>
      <c r="H9" s="27">
        <f>IF(B9="","",IF(G9&lt;&gt;0,IF(G9&gt;0,"","交易超限"),"该股票未持仓，仅可买入"))</f>
        <v/>
      </c>
      <c r="L9" s="0" t="n"/>
    </row>
    <row r="10">
      <c r="A10" s="6" t="n">
        <v>9</v>
      </c>
      <c r="B10" s="6" t="n"/>
      <c r="C10" s="27" t="n"/>
      <c r="D10" s="6" t="n"/>
      <c r="E10" s="27">
        <f>IF(B10="","",IF(D10&lt;=0,-C10*D10*2.5/10000,C10*D10*12.5/10000))</f>
        <v/>
      </c>
      <c r="F10" s="27">
        <f>IF(B10="","",C10*D10-E10)</f>
        <v/>
      </c>
      <c r="G10" s="6">
        <f>IF(B10="","",IF(COUNTIF(盘中持仓!B:B,B10),VLOOKUP(B10,盘中持仓!B:D,3,0),0))</f>
        <v/>
      </c>
      <c r="H10" s="27">
        <f>IF(B10="","",IF(G10&lt;&gt;0,IF(G10&gt;0,"","交易超限"),"该股票未持仓，仅可买入"))</f>
        <v/>
      </c>
      <c r="L10" s="0" t="n"/>
    </row>
    <row r="11">
      <c r="A11" s="6" t="n">
        <v>10</v>
      </c>
      <c r="B11" s="6" t="n"/>
      <c r="C11" s="27" t="n"/>
      <c r="D11" s="6" t="n"/>
      <c r="E11" s="27">
        <f>IF(B11="","",IF(D11&lt;=0,-C11*D11*2.5/10000,C11*D11*12.5/10000))</f>
        <v/>
      </c>
      <c r="F11" s="27">
        <f>IF(B11="","",C11*D11-E11)</f>
        <v/>
      </c>
      <c r="G11" s="6">
        <f>IF(B11="","",IF(COUNTIF(盘中持仓!B:B,B11),VLOOKUP(B11,盘中持仓!B:D,3,0),0))</f>
        <v/>
      </c>
      <c r="H11" s="27">
        <f>IF(B11="","",IF(G11&lt;&gt;0,IF(G11&gt;0,"","交易超限"),"该股票未持仓，仅可买入"))</f>
        <v/>
      </c>
      <c r="L11" s="0" t="n"/>
    </row>
    <row r="12">
      <c r="A12" s="6" t="n">
        <v>11</v>
      </c>
      <c r="B12" s="6" t="n"/>
      <c r="C12" s="27" t="n"/>
      <c r="D12" s="6" t="n"/>
      <c r="E12" s="27">
        <f>IF(B12="","",IF(D12&lt;=0,-C12*D12*2.5/10000,C12*D12*12.5/10000))</f>
        <v/>
      </c>
      <c r="F12" s="27">
        <f>IF(B12="","",C12*D12-E12)</f>
        <v/>
      </c>
      <c r="G12" s="6">
        <f>IF(B12="","",IF(COUNTIF(盘中持仓!B:B,B12),VLOOKUP(B12,盘中持仓!B:D,3,0),0))</f>
        <v/>
      </c>
      <c r="H12" s="27">
        <f>IF(B12="","",IF(G12&lt;&gt;0,IF(G12&gt;0,"","交易超限"),"该股票未持仓，仅可买入"))</f>
        <v/>
      </c>
      <c r="L12" s="0" t="n"/>
    </row>
    <row r="13">
      <c r="A13" s="6" t="n">
        <v>12</v>
      </c>
      <c r="B13" s="6" t="n"/>
      <c r="C13" s="27" t="n"/>
      <c r="D13" s="6" t="n"/>
      <c r="E13" s="27">
        <f>IF(B13="","",IF(D13&lt;=0,-C13*D13*2.5/10000,C13*D13*12.5/10000))</f>
        <v/>
      </c>
      <c r="F13" s="27">
        <f>IF(B13="","",C13*D13-E13)</f>
        <v/>
      </c>
      <c r="G13" s="6">
        <f>IF(B13="","",IF(COUNTIF(盘中持仓!B:B,B13),VLOOKUP(B13,盘中持仓!B:D,3,0),0))</f>
        <v/>
      </c>
      <c r="H13" s="27">
        <f>IF(B13="","",IF(G13&lt;&gt;0,IF(G13&gt;0,"","交易超限"),"该股票未持仓，仅可买入"))</f>
        <v/>
      </c>
      <c r="L13" s="0" t="n"/>
    </row>
    <row r="14">
      <c r="A14" s="6" t="n">
        <v>13</v>
      </c>
      <c r="B14" s="6" t="n"/>
      <c r="C14" s="27" t="n"/>
      <c r="D14" s="6" t="n"/>
      <c r="E14" s="27">
        <f>IF(B14="","",IF(D14&lt;=0,-C14*D14*2.5/10000,C14*D14*12.5/10000))</f>
        <v/>
      </c>
      <c r="F14" s="27">
        <f>IF(B14="","",C14*D14-E14)</f>
        <v/>
      </c>
      <c r="G14" s="6">
        <f>IF(B14="","",IF(COUNTIF(盘中持仓!B:B,B14),VLOOKUP(B14,盘中持仓!B:D,3,0),0))</f>
        <v/>
      </c>
      <c r="H14" s="27">
        <f>IF(B14="","",IF(G14&lt;&gt;0,IF(G14&gt;0,"","交易超限"),"该股票未持仓，仅可买入"))</f>
        <v/>
      </c>
      <c r="L14" s="0" t="n"/>
    </row>
    <row r="15">
      <c r="A15" s="6" t="n">
        <v>14</v>
      </c>
      <c r="B15" s="6" t="n"/>
      <c r="C15" s="27" t="n"/>
      <c r="D15" s="6" t="n"/>
      <c r="E15" s="27">
        <f>IF(B15="","",IF(D15&lt;=0,-C15*D15*2.5/10000,C15*D15*12.5/10000))</f>
        <v/>
      </c>
      <c r="F15" s="27">
        <f>IF(B15="","",C15*D15-E15)</f>
        <v/>
      </c>
      <c r="G15" s="6">
        <f>IF(B15="","",IF(COUNTIF(盘中持仓!B:B,B15),VLOOKUP(B15,盘中持仓!B:D,3,0),0))</f>
        <v/>
      </c>
      <c r="H15" s="27">
        <f>IF(B15="","",IF(G15&lt;&gt;0,IF(G15&gt;0,"","交易超限"),"该股票未持仓，仅可买入"))</f>
        <v/>
      </c>
      <c r="L15" s="0" t="n"/>
    </row>
    <row r="16">
      <c r="A16" s="6" t="n">
        <v>15</v>
      </c>
      <c r="B16" s="6" t="n"/>
      <c r="C16" s="27" t="n"/>
      <c r="D16" s="6" t="n"/>
      <c r="E16" s="27">
        <f>IF(B16="","",IF(D16&lt;=0,-C16*D16*2.5/10000,C16*D16*12.5/10000))</f>
        <v/>
      </c>
      <c r="F16" s="27">
        <f>IF(B16="","",C16*D16-E16)</f>
        <v/>
      </c>
      <c r="G16" s="6">
        <f>IF(B16="","",IF(COUNTIF(盘中持仓!B:B,B16),VLOOKUP(B16,盘中持仓!B:D,3,0),0))</f>
        <v/>
      </c>
      <c r="H16" s="27">
        <f>IF(B16="","",IF(G16&lt;&gt;0,IF(G16&gt;0,"","交易超限"),"该股票未持仓，仅可买入"))</f>
        <v/>
      </c>
      <c r="L16" s="0" t="n"/>
    </row>
    <row r="17">
      <c r="A17" s="6" t="n">
        <v>16</v>
      </c>
      <c r="B17" s="6" t="n"/>
      <c r="C17" s="27" t="n"/>
      <c r="D17" s="6" t="n"/>
      <c r="E17" s="27">
        <f>IF(B17="","",IF(D17&lt;=0,-C17*D17*2.5/10000,C17*D17*12.5/10000))</f>
        <v/>
      </c>
      <c r="F17" s="27">
        <f>IF(B17="","",C17*D17-E17)</f>
        <v/>
      </c>
      <c r="G17" s="6">
        <f>IF(B17="","",IF(COUNTIF(盘中持仓!B:B,B17),VLOOKUP(B17,盘中持仓!B:D,3,0),0))</f>
        <v/>
      </c>
      <c r="H17" s="27">
        <f>IF(B17="","",IF(G17&lt;&gt;0,IF(G17&gt;0,"","交易超限"),"该股票未持仓，仅可买入"))</f>
        <v/>
      </c>
      <c r="L17" s="0" t="n"/>
    </row>
    <row r="18">
      <c r="A18" s="6" t="n">
        <v>17</v>
      </c>
      <c r="B18" s="6" t="n"/>
      <c r="C18" s="27" t="n"/>
      <c r="D18" s="6" t="n"/>
      <c r="E18" s="27">
        <f>IF(B18="","",IF(D18&lt;=0,-C18*D18*2.5/10000,C18*D18*12.5/10000))</f>
        <v/>
      </c>
      <c r="F18" s="27">
        <f>IF(B18="","",C18*D18-E18)</f>
        <v/>
      </c>
      <c r="G18" s="6">
        <f>IF(B18="","",IF(COUNTIF(盘中持仓!B:B,B18),VLOOKUP(B18,盘中持仓!B:D,3,0),0))</f>
        <v/>
      </c>
      <c r="H18" s="27">
        <f>IF(B18="","",IF(G18&lt;&gt;0,IF(G18&gt;0,"","交易超限"),"该股票未持仓，仅可买入"))</f>
        <v/>
      </c>
      <c r="L18" s="0" t="n"/>
    </row>
    <row r="19">
      <c r="A19" s="6" t="n">
        <v>18</v>
      </c>
      <c r="B19" s="6" t="n"/>
      <c r="C19" s="27" t="n"/>
      <c r="D19" s="6" t="n"/>
      <c r="E19" s="27">
        <f>IF(B19="","",IF(D19&lt;=0,-C19*D19*2.5/10000,C19*D19*12.5/10000))</f>
        <v/>
      </c>
      <c r="F19" s="27">
        <f>IF(B19="","",C19*D19-E19)</f>
        <v/>
      </c>
      <c r="G19" s="6">
        <f>IF(B19="","",IF(COUNTIF(盘中持仓!B:B,B19),VLOOKUP(B19,盘中持仓!B:D,3,0),0))</f>
        <v/>
      </c>
      <c r="H19" s="27">
        <f>IF(B19="","",IF(G19&lt;&gt;0,IF(G19&gt;0,"","交易超限"),"该股票未持仓，仅可买入"))</f>
        <v/>
      </c>
      <c r="L19" s="0" t="n"/>
    </row>
    <row r="20">
      <c r="A20" s="6" t="n">
        <v>19</v>
      </c>
      <c r="B20" s="6" t="n"/>
      <c r="C20" s="27" t="n"/>
      <c r="D20" s="6" t="n"/>
      <c r="E20" s="27">
        <f>IF(B20="","",IF(D20&lt;=0,-C20*D20*2.5/10000,C20*D20*12.5/10000))</f>
        <v/>
      </c>
      <c r="F20" s="27">
        <f>IF(B20="","",C20*D20-E20)</f>
        <v/>
      </c>
      <c r="G20" s="6">
        <f>IF(B20="","",IF(COUNTIF(盘中持仓!B:B,B20),VLOOKUP(B20,盘中持仓!B:D,3,0),0))</f>
        <v/>
      </c>
      <c r="H20" s="27">
        <f>IF(B20="","",IF(G20&lt;&gt;0,IF(G20&gt;0,"","交易超限"),"该股票未持仓，仅可买入"))</f>
        <v/>
      </c>
      <c r="L20" s="0" t="n"/>
    </row>
    <row r="21">
      <c r="A21" s="6" t="n">
        <v>20</v>
      </c>
      <c r="B21" s="6" t="n"/>
      <c r="C21" s="27" t="n"/>
      <c r="D21" s="6" t="n"/>
      <c r="E21" s="27">
        <f>IF(B21="","",IF(D21&lt;=0,-C21*D21*2.5/10000,C21*D21*12.5/10000))</f>
        <v/>
      </c>
      <c r="F21" s="27">
        <f>IF(B21="","",C21*D21-E21)</f>
        <v/>
      </c>
      <c r="G21" s="6">
        <f>IF(B21="","",IF(COUNTIF(盘中持仓!B:B,B21),VLOOKUP(B21,盘中持仓!B:D,3,0),0))</f>
        <v/>
      </c>
      <c r="H21" s="27">
        <f>IF(B21="","",IF(G21&lt;&gt;0,IF(G21&gt;0,"","交易超限"),"该股票未持仓，仅可买入"))</f>
        <v/>
      </c>
      <c r="L21" s="1" t="inlineStr">
        <is>
          <t xml:space="preserve">                                                       </t>
        </is>
      </c>
    </row>
    <row r="22">
      <c r="A22" s="6" t="n">
        <v>21</v>
      </c>
      <c r="B22" s="6" t="n"/>
      <c r="C22" s="27" t="n"/>
      <c r="D22" s="6" t="n"/>
      <c r="E22" s="27">
        <f>IF(B22="","",IF(D22&lt;=0,-C22*D22*2.5/10000,C22*D22*12.5/10000))</f>
        <v/>
      </c>
      <c r="F22" s="27">
        <f>IF(B22="","",C22*D22-E22)</f>
        <v/>
      </c>
      <c r="G22" s="6">
        <f>IF(B22="","",IF(COUNTIF(盘中持仓!B:B,B22),VLOOKUP(B22,盘中持仓!B:D,3,0),0))</f>
        <v/>
      </c>
      <c r="H22" s="27">
        <f>IF(B22="","",IF(G22&lt;&gt;0,IF(G22&gt;0,"","交易超限"),"该股票未持仓，仅可买入"))</f>
        <v/>
      </c>
    </row>
    <row r="23">
      <c r="A23" s="6" t="n">
        <v>22</v>
      </c>
      <c r="B23" s="6" t="n"/>
      <c r="C23" s="27" t="n"/>
      <c r="D23" s="6" t="n"/>
      <c r="E23" s="27">
        <f>IF(B23="","",IF(D23&lt;=0,-C23*D23*2.5/10000,C23*D23*12.5/10000))</f>
        <v/>
      </c>
      <c r="F23" s="27">
        <f>IF(B23="","",C23*D23-E23)</f>
        <v/>
      </c>
      <c r="G23" s="6">
        <f>IF(B23="","",IF(COUNTIF(盘中持仓!B:B,B23),VLOOKUP(B23,盘中持仓!B:D,3,0),0))</f>
        <v/>
      </c>
      <c r="H23" s="27">
        <f>IF(B23="","",IF(G23&lt;&gt;0,IF(G23&gt;0,"","交易超限"),"该股票未持仓，仅可买入"))</f>
        <v/>
      </c>
    </row>
    <row r="24">
      <c r="A24" s="6" t="n">
        <v>23</v>
      </c>
      <c r="B24" s="6" t="n"/>
      <c r="C24" s="27" t="n"/>
      <c r="D24" s="6" t="n"/>
      <c r="E24" s="27">
        <f>IF(B24="","",IF(D24&lt;=0,-C24*D24*2.5/10000,C24*D24*12.5/10000))</f>
        <v/>
      </c>
      <c r="F24" s="27">
        <f>IF(B24="","",C24*D24-E24)</f>
        <v/>
      </c>
      <c r="G24" s="6">
        <f>IF(B24="","",IF(COUNTIF(盘中持仓!B:B,B24),VLOOKUP(B24,盘中持仓!B:D,3,0),0))</f>
        <v/>
      </c>
      <c r="H24" s="27">
        <f>IF(B24="","",IF(G24&lt;&gt;0,IF(G24&gt;0,"","交易超限"),"该股票未持仓，仅可买入"))</f>
        <v/>
      </c>
    </row>
    <row r="25">
      <c r="A25" s="6" t="n">
        <v>24</v>
      </c>
      <c r="B25" s="6" t="n"/>
      <c r="C25" s="27" t="n"/>
      <c r="D25" s="6" t="n"/>
      <c r="E25" s="27">
        <f>IF(B25="","",IF(D25&lt;=0,-C25*D25*2.5/10000,C25*D25*12.5/10000))</f>
        <v/>
      </c>
      <c r="F25" s="27">
        <f>IF(B25="","",C25*D25-E25)</f>
        <v/>
      </c>
      <c r="G25" s="6">
        <f>IF(B25="","",IF(COUNTIF(盘中持仓!B:B,B25),VLOOKUP(B25,盘中持仓!B:D,3,0),0))</f>
        <v/>
      </c>
      <c r="H25" s="27">
        <f>IF(B25="","",IF(G25&lt;&gt;0,IF(G25&gt;0,"","交易超限"),"该股票未持仓，仅可买入"))</f>
        <v/>
      </c>
    </row>
    <row r="26">
      <c r="A26" s="6" t="n">
        <v>25</v>
      </c>
      <c r="B26" s="6" t="n"/>
      <c r="C26" s="27" t="n"/>
      <c r="D26" s="6" t="n"/>
      <c r="E26" s="27">
        <f>IF(B26="","",IF(D26&lt;=0,-C26*D26*2.5/10000,C26*D26*12.5/10000))</f>
        <v/>
      </c>
      <c r="F26" s="27">
        <f>IF(B26="","",C26*D26-E26)</f>
        <v/>
      </c>
      <c r="G26" s="6">
        <f>IF(B26="","",IF(COUNTIF(盘中持仓!B:B,B26),VLOOKUP(B26,盘中持仓!B:D,3,0),0))</f>
        <v/>
      </c>
      <c r="H26" s="27">
        <f>IF(B26="","",IF(G26&lt;&gt;0,IF(G26&gt;0,"","交易超限"),"该股票未持仓，仅可买入"))</f>
        <v/>
      </c>
    </row>
    <row r="27">
      <c r="A27" s="6" t="n">
        <v>26</v>
      </c>
      <c r="B27" s="6" t="n"/>
      <c r="C27" s="27" t="n"/>
      <c r="D27" s="6" t="n"/>
      <c r="E27" s="27">
        <f>IF(B27="","",IF(D27&lt;=0,-C27*D27*2.5/10000,C27*D27*12.5/10000))</f>
        <v/>
      </c>
      <c r="F27" s="27">
        <f>IF(B27="","",C27*D27-E27)</f>
        <v/>
      </c>
      <c r="G27" s="6">
        <f>IF(B27="","",IF(COUNTIF(盘中持仓!B:B,B27),VLOOKUP(B27,盘中持仓!B:D,3,0),0))</f>
        <v/>
      </c>
      <c r="H27" s="27">
        <f>IF(B27="","",IF(G27&lt;&gt;0,IF(G27&gt;0,"","交易超限"),"该股票未持仓，仅可买入"))</f>
        <v/>
      </c>
    </row>
    <row r="28">
      <c r="A28" s="6" t="n">
        <v>27</v>
      </c>
      <c r="B28" s="6" t="n"/>
      <c r="C28" s="27" t="n"/>
      <c r="D28" s="6" t="n"/>
      <c r="E28" s="27">
        <f>IF(B28="","",IF(D28&lt;=0,-C28*D28*2.5/10000,C28*D28*12.5/10000))</f>
        <v/>
      </c>
      <c r="F28" s="27">
        <f>IF(B28="","",C28*D28-E28)</f>
        <v/>
      </c>
      <c r="G28" s="6">
        <f>IF(B28="","",IF(COUNTIF(盘中持仓!B:B,B28),VLOOKUP(B28,盘中持仓!B:D,3,0),0))</f>
        <v/>
      </c>
      <c r="H28" s="27">
        <f>IF(B28="","",IF(G28&lt;&gt;0,IF(G28&gt;0,"","交易超限"),"该股票未持仓，仅可买入"))</f>
        <v/>
      </c>
    </row>
    <row r="29">
      <c r="A29" s="6" t="n">
        <v>28</v>
      </c>
      <c r="B29" s="6" t="n"/>
      <c r="C29" s="27" t="n"/>
      <c r="D29" s="6" t="n"/>
      <c r="E29" s="27">
        <f>IF(B29="","",IF(D29&lt;=0,-C29*D29*2.5/10000,C29*D29*12.5/10000))</f>
        <v/>
      </c>
      <c r="F29" s="27">
        <f>IF(B29="","",C29*D29-E29)</f>
        <v/>
      </c>
      <c r="G29" s="6">
        <f>IF(B29="","",IF(COUNTIF(盘中持仓!B:B,B29),VLOOKUP(B29,盘中持仓!B:D,3,0),0))</f>
        <v/>
      </c>
      <c r="H29" s="27">
        <f>IF(B29="","",IF(G29&lt;&gt;0,IF(G29&gt;0,"","交易超限"),"该股票未持仓，仅可买入"))</f>
        <v/>
      </c>
    </row>
    <row r="30">
      <c r="A30" s="6" t="n">
        <v>29</v>
      </c>
      <c r="B30" s="6" t="n"/>
      <c r="C30" s="27" t="n"/>
      <c r="D30" s="6" t="n"/>
      <c r="E30" s="27">
        <f>IF(B30="","",IF(D30&lt;=0,-C30*D30*2.5/10000,C30*D30*12.5/10000))</f>
        <v/>
      </c>
      <c r="F30" s="27">
        <f>IF(B30="","",C30*D30-E30)</f>
        <v/>
      </c>
      <c r="G30" s="6">
        <f>IF(B30="","",IF(COUNTIF(盘中持仓!B:B,B30),VLOOKUP(B30,盘中持仓!B:D,3,0),0))</f>
        <v/>
      </c>
      <c r="H30" s="27">
        <f>IF(B30="","",IF(G30&lt;&gt;0,IF(G30&gt;0,"","交易超限"),"该股票未持仓，仅可买入"))</f>
        <v/>
      </c>
    </row>
    <row r="31">
      <c r="A31" s="6" t="n">
        <v>30</v>
      </c>
      <c r="B31" s="6" t="n"/>
      <c r="C31" s="27" t="n"/>
      <c r="D31" s="6" t="n"/>
      <c r="E31" s="27">
        <f>IF(B31="","",IF(D31&lt;=0,-C31*D31*2.5/10000,C31*D31*12.5/10000))</f>
        <v/>
      </c>
      <c r="F31" s="27">
        <f>IF(B31="","",C31*D31-E31)</f>
        <v/>
      </c>
      <c r="G31" s="6">
        <f>IF(B31="","",IF(COUNTIF(盘中持仓!B:B,B31),VLOOKUP(B31,盘中持仓!B:D,3,0),0))</f>
        <v/>
      </c>
      <c r="H31" s="27">
        <f>IF(B31="","",IF(G31&lt;&gt;0,IF(G31&gt;0,"","交易超限"),"该股票未持仓，仅可买入"))</f>
        <v/>
      </c>
    </row>
    <row r="32">
      <c r="A32" s="6" t="n">
        <v>31</v>
      </c>
      <c r="B32" s="6" t="n"/>
      <c r="C32" s="27" t="n"/>
      <c r="D32" s="6" t="n"/>
      <c r="E32" s="27">
        <f>IF(B32="","",IF(D32&lt;=0,-C32*D32*2.5/10000,C32*D32*12.5/10000))</f>
        <v/>
      </c>
      <c r="F32" s="27">
        <f>IF(B32="","",C32*D32-E32)</f>
        <v/>
      </c>
      <c r="G32" s="6">
        <f>IF(B32="","",IF(COUNTIF(盘中持仓!B:B,B32),VLOOKUP(B32,盘中持仓!B:D,3,0),0))</f>
        <v/>
      </c>
      <c r="H32" s="27">
        <f>IF(B32="","",IF(G32&lt;&gt;0,IF(G32&gt;0,"","交易超限"),"该股票未持仓，仅可买入"))</f>
        <v/>
      </c>
    </row>
    <row r="33">
      <c r="A33" s="6" t="n">
        <v>32</v>
      </c>
      <c r="B33" s="6" t="n"/>
      <c r="C33" s="27" t="n"/>
      <c r="D33" s="6" t="n"/>
      <c r="E33" s="27">
        <f>IF(B33="","",IF(D33&lt;=0,-C33*D33*2.5/10000,C33*D33*12.5/10000))</f>
        <v/>
      </c>
      <c r="F33" s="27">
        <f>IF(B33="","",C33*D33-E33)</f>
        <v/>
      </c>
      <c r="G33" s="6">
        <f>IF(B33="","",IF(COUNTIF(盘中持仓!B:B,B33),VLOOKUP(B33,盘中持仓!B:D,3,0),0))</f>
        <v/>
      </c>
      <c r="H33" s="27">
        <f>IF(B33="","",IF(G33&lt;&gt;0,IF(G33&gt;0,"","交易超限"),"该股票未持仓，仅可买入"))</f>
        <v/>
      </c>
    </row>
    <row r="34">
      <c r="A34" s="6" t="n">
        <v>33</v>
      </c>
      <c r="B34" s="6" t="n"/>
      <c r="C34" s="27" t="n"/>
      <c r="D34" s="6" t="n"/>
      <c r="E34" s="27">
        <f>IF(B34="","",IF(D34&lt;=0,-C34*D34*2.5/10000,C34*D34*12.5/10000))</f>
        <v/>
      </c>
      <c r="F34" s="27">
        <f>IF(B34="","",C34*D34-E34)</f>
        <v/>
      </c>
      <c r="G34" s="6">
        <f>IF(B34="","",IF(COUNTIF(盘中持仓!B:B,B34),VLOOKUP(B34,盘中持仓!B:D,3,0),0))</f>
        <v/>
      </c>
      <c r="H34" s="27">
        <f>IF(B34="","",IF(G34&lt;&gt;0,IF(G34&gt;0,"","交易超限"),"该股票未持仓，仅可买入"))</f>
        <v/>
      </c>
    </row>
    <row r="35">
      <c r="A35" s="6" t="n">
        <v>34</v>
      </c>
      <c r="B35" s="6" t="n"/>
      <c r="C35" s="27" t="n"/>
      <c r="D35" s="6" t="n"/>
      <c r="E35" s="27">
        <f>IF(B35="","",IF(D35&lt;=0,-C35*D35*2.5/10000,C35*D35*12.5/10000))</f>
        <v/>
      </c>
      <c r="F35" s="27">
        <f>IF(B35="","",C35*D35-E35)</f>
        <v/>
      </c>
      <c r="G35" s="6">
        <f>IF(B35="","",IF(COUNTIF(盘中持仓!B:B,B35),VLOOKUP(B35,盘中持仓!B:D,3,0),0))</f>
        <v/>
      </c>
      <c r="H35" s="27">
        <f>IF(B35="","",IF(G35&lt;&gt;0,IF(G35&gt;0,"","交易超限"),"该股票未持仓，仅可买入"))</f>
        <v/>
      </c>
    </row>
    <row r="36">
      <c r="A36" s="6" t="n">
        <v>35</v>
      </c>
      <c r="B36" s="6" t="n"/>
      <c r="C36" s="27" t="n"/>
      <c r="D36" s="6" t="n"/>
      <c r="E36" s="27">
        <f>IF(B36="","",IF(D36&lt;=0,-C36*D36*2.5/10000,C36*D36*12.5/10000))</f>
        <v/>
      </c>
      <c r="F36" s="27">
        <f>IF(B36="","",C36*D36-E36)</f>
        <v/>
      </c>
      <c r="G36" s="6">
        <f>IF(B36="","",IF(COUNTIF(盘中持仓!B:B,B36),VLOOKUP(B36,盘中持仓!B:D,3,0),0))</f>
        <v/>
      </c>
      <c r="H36" s="27">
        <f>IF(B36="","",IF(G36&lt;&gt;0,IF(G36&gt;0,"","交易超限"),"该股票未持仓，仅可买入"))</f>
        <v/>
      </c>
    </row>
    <row r="37">
      <c r="A37" s="6" t="n">
        <v>36</v>
      </c>
      <c r="B37" s="6" t="n"/>
      <c r="C37" s="27" t="n"/>
      <c r="D37" s="6" t="n"/>
      <c r="E37" s="27">
        <f>IF(B37="","",IF(D37&lt;=0,-C37*D37*2.5/10000,C37*D37*12.5/10000))</f>
        <v/>
      </c>
      <c r="F37" s="27">
        <f>IF(B37="","",C37*D37-E37)</f>
        <v/>
      </c>
      <c r="G37" s="6">
        <f>IF(B37="","",IF(COUNTIF(盘中持仓!B:B,B37),VLOOKUP(B37,盘中持仓!B:D,3,0),0))</f>
        <v/>
      </c>
      <c r="H37" s="27">
        <f>IF(B37="","",IF(G37&lt;&gt;0,IF(G37&gt;0,"","交易超限"),"该股票未持仓，仅可买入"))</f>
        <v/>
      </c>
    </row>
    <row r="38">
      <c r="A38" s="6" t="n">
        <v>37</v>
      </c>
      <c r="B38" s="6" t="n"/>
      <c r="C38" s="27" t="n"/>
      <c r="D38" s="6" t="n"/>
      <c r="E38" s="27">
        <f>IF(B38="","",IF(D38&lt;=0,-C38*D38*2.5/10000,C38*D38*12.5/10000))</f>
        <v/>
      </c>
      <c r="F38" s="27">
        <f>IF(B38="","",C38*D38-E38)</f>
        <v/>
      </c>
      <c r="G38" s="6">
        <f>IF(B38="","",IF(COUNTIF(盘中持仓!B:B,B38),VLOOKUP(B38,盘中持仓!B:D,3,0),0))</f>
        <v/>
      </c>
      <c r="H38" s="27">
        <f>IF(B38="","",IF(G38&lt;&gt;0,IF(G38&gt;0,"","交易超限"),"该股票未持仓，仅可买入"))</f>
        <v/>
      </c>
    </row>
    <row r="39">
      <c r="A39" s="6" t="n">
        <v>38</v>
      </c>
      <c r="B39" s="6" t="n"/>
      <c r="C39" s="27" t="n"/>
      <c r="D39" s="6" t="n"/>
      <c r="E39" s="27">
        <f>IF(B39="","",IF(D39&lt;=0,-C39*D39*2.5/10000,C39*D39*12.5/10000))</f>
        <v/>
      </c>
      <c r="F39" s="27">
        <f>IF(B39="","",C39*D39-E39)</f>
        <v/>
      </c>
      <c r="G39" s="6">
        <f>IF(B39="","",IF(COUNTIF(盘中持仓!B:B,B39),VLOOKUP(B39,盘中持仓!B:D,3,0),0))</f>
        <v/>
      </c>
      <c r="H39" s="27">
        <f>IF(B39="","",IF(G39&lt;&gt;0,IF(G39&gt;0,"","交易超限"),"该股票未持仓，仅可买入"))</f>
        <v/>
      </c>
    </row>
    <row r="40">
      <c r="A40" s="6" t="n">
        <v>39</v>
      </c>
      <c r="B40" s="6" t="n"/>
      <c r="C40" s="27" t="n"/>
      <c r="D40" s="6" t="n"/>
      <c r="E40" s="27">
        <f>IF(B40="","",IF(D40&lt;=0,-C40*D40*2.5/10000,C40*D40*12.5/10000))</f>
        <v/>
      </c>
      <c r="F40" s="27">
        <f>IF(B40="","",C40*D40-E40)</f>
        <v/>
      </c>
      <c r="G40" s="6">
        <f>IF(B40="","",IF(COUNTIF(盘中持仓!B:B,B40),VLOOKUP(B40,盘中持仓!B:D,3,0),0))</f>
        <v/>
      </c>
      <c r="H40" s="27">
        <f>IF(B40="","",IF(G40&lt;&gt;0,IF(G40&gt;0,"","交易超限"),"该股票未持仓，仅可买入"))</f>
        <v/>
      </c>
    </row>
    <row r="41">
      <c r="A41" s="6" t="n">
        <v>40</v>
      </c>
      <c r="B41" s="6" t="n"/>
      <c r="C41" s="27" t="n"/>
      <c r="D41" s="6" t="n"/>
      <c r="E41" s="27">
        <f>IF(B41="","",IF(D41&lt;=0,-C41*D41*2.5/10000,C41*D41*12.5/10000))</f>
        <v/>
      </c>
      <c r="F41" s="27">
        <f>IF(B41="","",C41*D41-E41)</f>
        <v/>
      </c>
      <c r="G41" s="6">
        <f>IF(B41="","",IF(COUNTIF(盘中持仓!B:B,B41),VLOOKUP(B41,盘中持仓!B:D,3,0),0))</f>
        <v/>
      </c>
      <c r="H41" s="27">
        <f>IF(B41="","",IF(G41&lt;&gt;0,IF(G41&gt;0,"","交易超限"),"该股票未持仓，仅可买入"))</f>
        <v/>
      </c>
    </row>
    <row r="42">
      <c r="A42" s="6" t="n">
        <v>41</v>
      </c>
      <c r="B42" s="6" t="n"/>
      <c r="C42" s="27" t="n"/>
      <c r="D42" s="6" t="n"/>
      <c r="E42" s="27">
        <f>IF(B42="","",IF(D42&lt;=0,-C42*D42*2.5/10000,C42*D42*12.5/10000))</f>
        <v/>
      </c>
      <c r="F42" s="27">
        <f>IF(B42="","",C42*D42-E42)</f>
        <v/>
      </c>
      <c r="G42" s="6">
        <f>IF(B42="","",IF(COUNTIF(盘中持仓!B:B,B42),VLOOKUP(B42,盘中持仓!B:D,3,0),0))</f>
        <v/>
      </c>
      <c r="H42" s="27">
        <f>IF(B42="","",IF(G42&lt;&gt;0,IF(G42&gt;0,"","交易超限"),"该股票未持仓，仅可买入"))</f>
        <v/>
      </c>
    </row>
    <row r="43">
      <c r="A43" s="6" t="n">
        <v>42</v>
      </c>
      <c r="B43" s="6" t="n"/>
      <c r="C43" s="27" t="n"/>
      <c r="D43" s="6" t="n"/>
      <c r="E43" s="27">
        <f>IF(B43="","",IF(D43&lt;=0,-C43*D43*2.5/10000,C43*D43*12.5/10000))</f>
        <v/>
      </c>
      <c r="F43" s="27">
        <f>IF(B43="","",C43*D43-E43)</f>
        <v/>
      </c>
      <c r="G43" s="6">
        <f>IF(B43="","",IF(COUNTIF(盘中持仓!B:B,B43),VLOOKUP(B43,盘中持仓!B:D,3,0),0))</f>
        <v/>
      </c>
      <c r="H43" s="27">
        <f>IF(B43="","",IF(G43&lt;&gt;0,IF(G43&gt;0,"","交易超限"),"该股票未持仓，仅可买入"))</f>
        <v/>
      </c>
    </row>
    <row r="44">
      <c r="A44" s="6" t="n">
        <v>43</v>
      </c>
      <c r="B44" s="6" t="n"/>
      <c r="C44" s="27" t="n"/>
      <c r="D44" s="6" t="n"/>
      <c r="E44" s="27">
        <f>IF(B44="","",IF(D44&lt;=0,-C44*D44*2.5/10000,C44*D44*12.5/10000))</f>
        <v/>
      </c>
      <c r="F44" s="27">
        <f>IF(B44="","",C44*D44-E44)</f>
        <v/>
      </c>
      <c r="G44" s="6">
        <f>IF(B44="","",IF(COUNTIF(盘中持仓!B:B,B44),VLOOKUP(B44,盘中持仓!B:D,3,0),0))</f>
        <v/>
      </c>
      <c r="H44" s="27">
        <f>IF(B44="","",IF(G44&lt;&gt;0,IF(G44&gt;0,"","交易超限"),"该股票未持仓，仅可买入"))</f>
        <v/>
      </c>
    </row>
    <row r="45">
      <c r="A45" s="6" t="n">
        <v>44</v>
      </c>
      <c r="B45" s="6" t="n"/>
      <c r="C45" s="27" t="n"/>
      <c r="D45" s="6" t="n"/>
      <c r="E45" s="27">
        <f>IF(B45="","",IF(D45&lt;=0,-C45*D45*2.5/10000,C45*D45*12.5/10000))</f>
        <v/>
      </c>
      <c r="F45" s="27">
        <f>IF(B45="","",C45*D45-E45)</f>
        <v/>
      </c>
      <c r="G45" s="6">
        <f>IF(B45="","",IF(COUNTIF(盘中持仓!B:B,B45),VLOOKUP(B45,盘中持仓!B:D,3,0),0))</f>
        <v/>
      </c>
      <c r="H45" s="27">
        <f>IF(B45="","",IF(G45&lt;&gt;0,IF(G45&gt;0,"","交易超限"),"该股票未持仓，仅可买入"))</f>
        <v/>
      </c>
    </row>
    <row r="46">
      <c r="A46" s="6" t="n">
        <v>45</v>
      </c>
      <c r="B46" s="6" t="n"/>
      <c r="C46" s="27" t="n"/>
      <c r="D46" s="6" t="n"/>
      <c r="E46" s="27">
        <f>IF(B46="","",IF(D46&lt;=0,-C46*D46*2.5/10000,C46*D46*12.5/10000))</f>
        <v/>
      </c>
      <c r="F46" s="27">
        <f>IF(B46="","",C46*D46-E46)</f>
        <v/>
      </c>
      <c r="G46" s="6">
        <f>IF(B46="","",IF(COUNTIF(盘中持仓!B:B,B46),VLOOKUP(B46,盘中持仓!B:D,3,0),0))</f>
        <v/>
      </c>
      <c r="H46" s="27">
        <f>IF(B46="","",IF(G46&lt;&gt;0,IF(G46&gt;0,"","交易超限"),"该股票未持仓，仅可买入"))</f>
        <v/>
      </c>
    </row>
    <row r="47">
      <c r="A47" s="6" t="n">
        <v>46</v>
      </c>
      <c r="B47" s="6" t="n"/>
      <c r="C47" s="27" t="n"/>
      <c r="D47" s="6" t="n"/>
      <c r="E47" s="27">
        <f>IF(B47="","",IF(D47&lt;=0,-C47*D47*2.5/10000,C47*D47*12.5/10000))</f>
        <v/>
      </c>
      <c r="F47" s="27">
        <f>IF(B47="","",C47*D47-E47)</f>
        <v/>
      </c>
      <c r="G47" s="6">
        <f>IF(B47="","",IF(COUNTIF(盘中持仓!B:B,B47),VLOOKUP(B47,盘中持仓!B:D,3,0),0))</f>
        <v/>
      </c>
      <c r="H47" s="27">
        <f>IF(B47="","",IF(G47&lt;&gt;0,IF(G47&gt;0,"","交易超限"),"该股票未持仓，仅可买入"))</f>
        <v/>
      </c>
    </row>
    <row r="48">
      <c r="A48" s="6" t="n">
        <v>47</v>
      </c>
      <c r="B48" s="6" t="n"/>
      <c r="C48" s="27" t="n"/>
      <c r="D48" s="6" t="n"/>
      <c r="E48" s="27">
        <f>IF(B48="","",IF(D48&lt;=0,-C48*D48*2.5/10000,C48*D48*12.5/10000))</f>
        <v/>
      </c>
      <c r="F48" s="27">
        <f>IF(B48="","",C48*D48-E48)</f>
        <v/>
      </c>
      <c r="G48" s="6">
        <f>IF(B48="","",IF(COUNTIF(盘中持仓!B:B,B48),VLOOKUP(B48,盘中持仓!B:D,3,0),0))</f>
        <v/>
      </c>
      <c r="H48" s="27">
        <f>IF(B48="","",IF(G48&lt;&gt;0,IF(G48&gt;0,"","交易超限"),"该股票未持仓，仅可买入"))</f>
        <v/>
      </c>
    </row>
    <row r="49">
      <c r="A49" s="6" t="n">
        <v>48</v>
      </c>
      <c r="B49" s="6" t="n"/>
      <c r="C49" s="27" t="n"/>
      <c r="D49" s="6" t="n"/>
      <c r="E49" s="27">
        <f>IF(B49="","",IF(D49&lt;=0,-C49*D49*2.5/10000,C49*D49*12.5/10000))</f>
        <v/>
      </c>
      <c r="F49" s="27">
        <f>IF(B49="","",C49*D49-E49)</f>
        <v/>
      </c>
      <c r="G49" s="6">
        <f>IF(B49="","",IF(COUNTIF(盘中持仓!B:B,B49),VLOOKUP(B49,盘中持仓!B:D,3,0),0))</f>
        <v/>
      </c>
      <c r="H49" s="27">
        <f>IF(B49="","",IF(G49&lt;&gt;0,IF(G49&gt;0,"","交易超限"),"该股票未持仓，仅可买入"))</f>
        <v/>
      </c>
    </row>
    <row r="50">
      <c r="A50" s="6" t="n">
        <v>49</v>
      </c>
      <c r="B50" s="6" t="n"/>
      <c r="C50" s="27" t="n"/>
      <c r="D50" s="6" t="n"/>
      <c r="E50" s="27">
        <f>IF(B50="","",IF(D50&lt;=0,-C50*D50*2.5/10000,C50*D50*12.5/10000))</f>
        <v/>
      </c>
      <c r="F50" s="27">
        <f>IF(B50="","",C50*D50-E50)</f>
        <v/>
      </c>
      <c r="G50" s="6">
        <f>IF(B50="","",IF(COUNTIF(盘中持仓!B:B,B50),VLOOKUP(B50,盘中持仓!B:D,3,0),0))</f>
        <v/>
      </c>
      <c r="H50" s="27">
        <f>IF(B50="","",IF(G50&lt;&gt;0,IF(G50&gt;0,"","交易超限"),"该股票未持仓，仅可买入"))</f>
        <v/>
      </c>
    </row>
    <row r="51">
      <c r="A51" s="6" t="n">
        <v>50</v>
      </c>
      <c r="B51" s="6" t="n"/>
      <c r="C51" s="27" t="n"/>
      <c r="D51" s="6" t="n"/>
      <c r="E51" s="27">
        <f>IF(B51="","",IF(D51&lt;=0,-C51*D51*2.5/10000,C51*D51*12.5/10000))</f>
        <v/>
      </c>
      <c r="F51" s="27">
        <f>IF(B51="","",C51*D51-E51)</f>
        <v/>
      </c>
      <c r="G51" s="6">
        <f>IF(B51="","",IF(COUNTIF(盘中持仓!B:B,B51),VLOOKUP(B51,盘中持仓!B:D,3,0),0))</f>
        <v/>
      </c>
      <c r="H51" s="27">
        <f>IF(B51="","",IF(G51&lt;&gt;0,IF(G51&gt;0,"","交易超限"),"该股票未持仓，仅可买入"))</f>
        <v/>
      </c>
    </row>
    <row r="52">
      <c r="A52" s="6" t="n">
        <v>51</v>
      </c>
      <c r="B52" s="6" t="n"/>
      <c r="C52" s="27" t="n"/>
      <c r="D52" s="6" t="n"/>
      <c r="E52" s="27">
        <f>IF(B52="","",IF(D52&lt;=0,-C52*D52*2.5/10000,C52*D52*12.5/10000))</f>
        <v/>
      </c>
      <c r="F52" s="27">
        <f>IF(B52="","",C52*D52-E52)</f>
        <v/>
      </c>
      <c r="G52" s="6">
        <f>IF(B52="","",IF(COUNTIF(盘中持仓!B:B,B52),VLOOKUP(B52,盘中持仓!B:D,3,0),0))</f>
        <v/>
      </c>
      <c r="H52" s="27">
        <f>IF(B52="","",IF(G52&lt;&gt;0,IF(G52&gt;0,"","交易超限"),"该股票未持仓，仅可买入"))</f>
        <v/>
      </c>
    </row>
    <row r="53">
      <c r="A53" s="6" t="n">
        <v>52</v>
      </c>
      <c r="B53" s="6" t="n"/>
      <c r="C53" s="27" t="n"/>
      <c r="D53" s="6" t="n"/>
      <c r="E53" s="27">
        <f>IF(B53="","",IF(D53&lt;=0,-C53*D53*2.5/10000,C53*D53*12.5/10000))</f>
        <v/>
      </c>
      <c r="F53" s="27">
        <f>IF(B53="","",C53*D53-E53)</f>
        <v/>
      </c>
      <c r="G53" s="6">
        <f>IF(B53="","",IF(COUNTIF(盘中持仓!B:B,B53),VLOOKUP(B53,盘中持仓!B:D,3,0),0))</f>
        <v/>
      </c>
      <c r="H53" s="27">
        <f>IF(B53="","",IF(G53&lt;&gt;0,IF(G53&gt;0,"","交易超限"),"该股票未持仓，仅可买入"))</f>
        <v/>
      </c>
    </row>
    <row r="54">
      <c r="A54" s="6" t="n">
        <v>53</v>
      </c>
      <c r="B54" s="6" t="n"/>
      <c r="C54" s="27" t="n"/>
      <c r="D54" s="6" t="n"/>
      <c r="E54" s="27">
        <f>IF(B54="","",IF(D54&lt;=0,-C54*D54*2.5/10000,C54*D54*12.5/10000))</f>
        <v/>
      </c>
      <c r="F54" s="27">
        <f>IF(B54="","",C54*D54-E54)</f>
        <v/>
      </c>
      <c r="G54" s="6">
        <f>IF(B54="","",IF(COUNTIF(盘中持仓!B:B,B54),VLOOKUP(B54,盘中持仓!B:D,3,0),0))</f>
        <v/>
      </c>
      <c r="H54" s="27">
        <f>IF(B54="","",IF(G54&lt;&gt;0,IF(G54&gt;0,"","交易超限"),"该股票未持仓，仅可买入"))</f>
        <v/>
      </c>
    </row>
    <row r="55">
      <c r="A55" s="6" t="n">
        <v>54</v>
      </c>
      <c r="B55" s="6" t="n"/>
      <c r="C55" s="27" t="n"/>
      <c r="D55" s="6" t="n"/>
      <c r="E55" s="27">
        <f>IF(B55="","",IF(D55&lt;=0,-C55*D55*2.5/10000,C55*D55*12.5/10000))</f>
        <v/>
      </c>
      <c r="F55" s="27">
        <f>IF(B55="","",C55*D55-E55)</f>
        <v/>
      </c>
      <c r="G55" s="6">
        <f>IF(B55="","",IF(COUNTIF(盘中持仓!B:B,B55),VLOOKUP(B55,盘中持仓!B:D,3,0),0))</f>
        <v/>
      </c>
      <c r="H55" s="27">
        <f>IF(B55="","",IF(G55&lt;&gt;0,IF(G55&gt;0,"","交易超限"),"该股票未持仓，仅可买入"))</f>
        <v/>
      </c>
    </row>
    <row r="56">
      <c r="A56" s="6" t="n">
        <v>55</v>
      </c>
      <c r="B56" s="6" t="n"/>
      <c r="C56" s="27" t="n"/>
      <c r="D56" s="6" t="n"/>
      <c r="E56" s="27">
        <f>IF(B56="","",IF(D56&lt;=0,-C56*D56*2.5/10000,C56*D56*12.5/10000))</f>
        <v/>
      </c>
      <c r="F56" s="27">
        <f>IF(B56="","",C56*D56-E56)</f>
        <v/>
      </c>
      <c r="G56" s="6">
        <f>IF(B56="","",IF(COUNTIF(盘中持仓!B:B,B56),VLOOKUP(B56,盘中持仓!B:D,3,0),0))</f>
        <v/>
      </c>
      <c r="H56" s="27">
        <f>IF(B56="","",IF(G56&lt;&gt;0,IF(G56&gt;0,"","交易超限"),"该股票未持仓，仅可买入"))</f>
        <v/>
      </c>
    </row>
    <row r="57">
      <c r="A57" s="6" t="n">
        <v>56</v>
      </c>
      <c r="B57" s="6" t="n"/>
      <c r="C57" s="27" t="n"/>
      <c r="D57" s="6" t="n"/>
      <c r="E57" s="27">
        <f>IF(B57="","",IF(D57&lt;=0,-C57*D57*2.5/10000,C57*D57*12.5/10000))</f>
        <v/>
      </c>
      <c r="F57" s="27">
        <f>IF(B57="","",C57*D57-E57)</f>
        <v/>
      </c>
      <c r="G57" s="6">
        <f>IF(B57="","",IF(COUNTIF(盘中持仓!B:B,B57),VLOOKUP(B57,盘中持仓!B:D,3,0),0))</f>
        <v/>
      </c>
      <c r="H57" s="27">
        <f>IF(B57="","",IF(G57&lt;&gt;0,IF(G57&gt;0,"","交易超限"),"该股票未持仓，仅可买入"))</f>
        <v/>
      </c>
    </row>
    <row r="58">
      <c r="A58" s="6" t="n">
        <v>57</v>
      </c>
      <c r="B58" s="6" t="n"/>
      <c r="C58" s="27" t="n"/>
      <c r="D58" s="6" t="n"/>
      <c r="E58" s="27">
        <f>IF(B58="","",IF(D58&lt;=0,-C58*D58*2.5/10000,C58*D58*12.5/10000))</f>
        <v/>
      </c>
      <c r="F58" s="27">
        <f>IF(B58="","",C58*D58-E58)</f>
        <v/>
      </c>
      <c r="G58" s="6">
        <f>IF(B58="","",IF(COUNTIF(盘中持仓!B:B,B58),VLOOKUP(B58,盘中持仓!B:D,3,0),0))</f>
        <v/>
      </c>
      <c r="H58" s="27">
        <f>IF(B58="","",IF(G58&lt;&gt;0,IF(G58&gt;0,"","交易超限"),"该股票未持仓，仅可买入"))</f>
        <v/>
      </c>
    </row>
    <row r="59">
      <c r="A59" s="6" t="n">
        <v>58</v>
      </c>
      <c r="B59" s="6" t="n"/>
      <c r="C59" s="27" t="n"/>
      <c r="D59" s="6" t="n"/>
      <c r="E59" s="27">
        <f>IF(B59="","",IF(D59&lt;=0,-C59*D59*2.5/10000,C59*D59*12.5/10000))</f>
        <v/>
      </c>
      <c r="F59" s="27">
        <f>IF(B59="","",C59*D59-E59)</f>
        <v/>
      </c>
      <c r="G59" s="6">
        <f>IF(B59="","",IF(COUNTIF(盘中持仓!B:B,B59),VLOOKUP(B59,盘中持仓!B:D,3,0),0))</f>
        <v/>
      </c>
      <c r="H59" s="27">
        <f>IF(B59="","",IF(G59&lt;&gt;0,IF(G59&gt;0,"","交易超限"),"该股票未持仓，仅可买入"))</f>
        <v/>
      </c>
    </row>
    <row r="60">
      <c r="A60" s="6" t="n">
        <v>59</v>
      </c>
      <c r="B60" s="6" t="n"/>
      <c r="C60" s="27" t="n"/>
      <c r="D60" s="6" t="n"/>
      <c r="E60" s="27">
        <f>IF(B60="","",IF(D60&lt;=0,-C60*D60*2.5/10000,C60*D60*12.5/10000))</f>
        <v/>
      </c>
      <c r="F60" s="27">
        <f>IF(B60="","",C60*D60-E60)</f>
        <v/>
      </c>
      <c r="G60" s="6">
        <f>IF(B60="","",IF(COUNTIF(盘中持仓!B:B,B60),VLOOKUP(B60,盘中持仓!B:D,3,0),0))</f>
        <v/>
      </c>
      <c r="H60" s="27">
        <f>IF(B60="","",IF(G60&lt;&gt;0,IF(G60&gt;0,"","交易超限"),"该股票未持仓，仅可买入"))</f>
        <v/>
      </c>
    </row>
    <row r="61">
      <c r="A61" s="6" t="n">
        <v>60</v>
      </c>
      <c r="B61" s="6" t="n"/>
      <c r="C61" s="27" t="n"/>
      <c r="D61" s="6" t="n"/>
      <c r="E61" s="27">
        <f>IF(B61="","",IF(D61&lt;=0,-C61*D61*2.5/10000,C61*D61*12.5/10000))</f>
        <v/>
      </c>
      <c r="F61" s="27">
        <f>IF(B61="","",C61*D61-E61)</f>
        <v/>
      </c>
      <c r="G61" s="6">
        <f>IF(B61="","",IF(COUNTIF(盘中持仓!B:B,B61),VLOOKUP(B61,盘中持仓!B:D,3,0),0))</f>
        <v/>
      </c>
      <c r="H61" s="27">
        <f>IF(B61="","",IF(G61&lt;&gt;0,IF(G61&gt;0,"","交易超限"),"该股票未持仓，仅可买入"))</f>
        <v/>
      </c>
    </row>
    <row r="62">
      <c r="A62" s="6" t="n">
        <v>61</v>
      </c>
      <c r="B62" s="6" t="n"/>
      <c r="C62" s="27" t="n"/>
      <c r="D62" s="6" t="n"/>
      <c r="E62" s="27">
        <f>IF(B62="","",IF(D62&lt;=0,-C62*D62*2.5/10000,C62*D62*12.5/10000))</f>
        <v/>
      </c>
      <c r="F62" s="27">
        <f>IF(B62="","",C62*D62-E62)</f>
        <v/>
      </c>
      <c r="G62" s="6">
        <f>IF(B62="","",IF(COUNTIF(盘中持仓!B:B,B62),VLOOKUP(B62,盘中持仓!B:D,3,0),0))</f>
        <v/>
      </c>
      <c r="H62" s="27">
        <f>IF(B62="","",IF(G62&lt;&gt;0,IF(G62&gt;0,"","交易超限"),"该股票未持仓，仅可买入"))</f>
        <v/>
      </c>
    </row>
    <row r="63">
      <c r="A63" s="6" t="n">
        <v>62</v>
      </c>
      <c r="B63" s="6" t="n"/>
      <c r="C63" s="27" t="n"/>
      <c r="D63" s="6" t="n"/>
      <c r="E63" s="27">
        <f>IF(B63="","",IF(D63&lt;=0,-C63*D63*2.5/10000,C63*D63*12.5/10000))</f>
        <v/>
      </c>
      <c r="F63" s="27">
        <f>IF(B63="","",C63*D63-E63)</f>
        <v/>
      </c>
      <c r="G63" s="6">
        <f>IF(B63="","",IF(COUNTIF(盘中持仓!B:B,B63),VLOOKUP(B63,盘中持仓!B:D,3,0),0))</f>
        <v/>
      </c>
      <c r="H63" s="27">
        <f>IF(B63="","",IF(G63&lt;&gt;0,IF(G63&gt;0,"","交易超限"),"该股票未持仓，仅可买入"))</f>
        <v/>
      </c>
    </row>
    <row r="64">
      <c r="A64" s="6" t="n">
        <v>63</v>
      </c>
      <c r="B64" s="6" t="n"/>
      <c r="C64" s="27" t="n"/>
      <c r="D64" s="6" t="n"/>
      <c r="E64" s="27">
        <f>IF(B64="","",IF(D64&lt;=0,-C64*D64*2.5/10000,C64*D64*12.5/10000))</f>
        <v/>
      </c>
      <c r="F64" s="27">
        <f>IF(B64="","",C64*D64-E64)</f>
        <v/>
      </c>
      <c r="G64" s="6">
        <f>IF(B64="","",IF(COUNTIF(盘中持仓!B:B,B64),VLOOKUP(B64,盘中持仓!B:D,3,0),0))</f>
        <v/>
      </c>
      <c r="H64" s="27">
        <f>IF(B64="","",IF(G64&lt;&gt;0,IF(G64&gt;0,"","交易超限"),"该股票未持仓，仅可买入"))</f>
        <v/>
      </c>
    </row>
    <row r="65">
      <c r="A65" s="6" t="n">
        <v>64</v>
      </c>
      <c r="B65" s="6" t="n"/>
      <c r="C65" s="27" t="n"/>
      <c r="D65" s="6" t="n"/>
      <c r="E65" s="27">
        <f>IF(B65="","",IF(D65&lt;=0,-C65*D65*2.5/10000,C65*D65*12.5/10000))</f>
        <v/>
      </c>
      <c r="F65" s="27">
        <f>IF(B65="","",C65*D65-E65)</f>
        <v/>
      </c>
      <c r="G65" s="6">
        <f>IF(B65="","",IF(COUNTIF(盘中持仓!B:B,B65),VLOOKUP(B65,盘中持仓!B:D,3,0),0))</f>
        <v/>
      </c>
      <c r="H65" s="27">
        <f>IF(B65="","",IF(G65&lt;&gt;0,IF(G65&gt;0,"","交易超限"),"该股票未持仓，仅可买入"))</f>
        <v/>
      </c>
    </row>
    <row r="66">
      <c r="A66" s="6" t="n">
        <v>65</v>
      </c>
      <c r="B66" s="6" t="n"/>
      <c r="C66" s="27" t="n"/>
      <c r="D66" s="6" t="n"/>
      <c r="E66" s="27">
        <f>IF(B66="","",IF(D66&lt;=0,-C66*D66*2.5/10000,C66*D66*12.5/10000))</f>
        <v/>
      </c>
      <c r="F66" s="27">
        <f>IF(B66="","",C66*D66-E66)</f>
        <v/>
      </c>
      <c r="G66" s="6">
        <f>IF(B66="","",IF(COUNTIF(盘中持仓!B:B,B66),VLOOKUP(B66,盘中持仓!B:D,3,0),0))</f>
        <v/>
      </c>
      <c r="H66" s="27">
        <f>IF(B66="","",IF(G66&lt;&gt;0,IF(G66&gt;0,"","交易超限"),"该股票未持仓，仅可买入"))</f>
        <v/>
      </c>
    </row>
    <row r="67">
      <c r="A67" s="6" t="n">
        <v>66</v>
      </c>
      <c r="B67" s="6" t="n"/>
      <c r="C67" s="27" t="n"/>
      <c r="D67" s="6" t="n"/>
      <c r="E67" s="27">
        <f>IF(B67="","",IF(D67&lt;=0,-C67*D67*2.5/10000,C67*D67*12.5/10000))</f>
        <v/>
      </c>
      <c r="F67" s="27">
        <f>IF(B67="","",C67*D67-E67)</f>
        <v/>
      </c>
      <c r="G67" s="6">
        <f>IF(B67="","",IF(COUNTIF(盘中持仓!B:B,B67),VLOOKUP(B67,盘中持仓!B:D,3,0),0))</f>
        <v/>
      </c>
      <c r="H67" s="27">
        <f>IF(B67="","",IF(G67&lt;&gt;0,IF(G67&gt;0,"","交易超限"),"该股票未持仓，仅可买入"))</f>
        <v/>
      </c>
    </row>
    <row r="68">
      <c r="A68" s="6" t="n">
        <v>67</v>
      </c>
      <c r="B68" s="6" t="n"/>
      <c r="C68" s="27" t="n"/>
      <c r="D68" s="6" t="n"/>
      <c r="E68" s="27">
        <f>IF(B68="","",IF(D68&lt;=0,-C68*D68*2.5/10000,C68*D68*12.5/10000))</f>
        <v/>
      </c>
      <c r="F68" s="27">
        <f>IF(B68="","",C68*D68-E68)</f>
        <v/>
      </c>
      <c r="G68" s="6">
        <f>IF(B68="","",IF(COUNTIF(盘中持仓!B:B,B68),VLOOKUP(B68,盘中持仓!B:D,3,0),0))</f>
        <v/>
      </c>
      <c r="H68" s="27">
        <f>IF(B68="","",IF(G68&lt;&gt;0,IF(G68&gt;0,"","交易超限"),"该股票未持仓，仅可买入"))</f>
        <v/>
      </c>
    </row>
    <row r="69">
      <c r="A69" s="6" t="n">
        <v>68</v>
      </c>
      <c r="B69" s="6" t="n"/>
      <c r="C69" s="27" t="n"/>
      <c r="D69" s="6" t="n"/>
      <c r="E69" s="27">
        <f>IF(B69="","",IF(D69&lt;=0,-C69*D69*2.5/10000,C69*D69*12.5/10000))</f>
        <v/>
      </c>
      <c r="F69" s="27">
        <f>IF(B69="","",C69*D69-E69)</f>
        <v/>
      </c>
      <c r="G69" s="6">
        <f>IF(B69="","",IF(COUNTIF(盘中持仓!B:B,B69),VLOOKUP(B69,盘中持仓!B:D,3,0),0))</f>
        <v/>
      </c>
      <c r="H69" s="27">
        <f>IF(B69="","",IF(G69&lt;&gt;0,IF(G69&gt;0,"","交易超限"),"该股票未持仓，仅可买入"))</f>
        <v/>
      </c>
    </row>
    <row r="70">
      <c r="A70" s="6" t="n">
        <v>69</v>
      </c>
      <c r="B70" s="6" t="n"/>
      <c r="C70" s="27" t="n"/>
      <c r="D70" s="6" t="n"/>
      <c r="E70" s="27">
        <f>IF(B70="","",IF(D70&lt;=0,-C70*D70*2.5/10000,C70*D70*12.5/10000))</f>
        <v/>
      </c>
      <c r="F70" s="27">
        <f>IF(B70="","",C70*D70-E70)</f>
        <v/>
      </c>
      <c r="G70" s="6">
        <f>IF(B70="","",IF(COUNTIF(盘中持仓!B:B,B70),VLOOKUP(B70,盘中持仓!B:D,3,0),0))</f>
        <v/>
      </c>
      <c r="H70" s="27">
        <f>IF(B70="","",IF(G70&lt;&gt;0,IF(G70&gt;0,"","交易超限"),"该股票未持仓，仅可买入"))</f>
        <v/>
      </c>
    </row>
    <row r="71">
      <c r="A71" s="6" t="n">
        <v>70</v>
      </c>
      <c r="B71" s="6" t="n"/>
      <c r="C71" s="27" t="n"/>
      <c r="D71" s="6" t="n"/>
      <c r="E71" s="27">
        <f>IF(B71="","",IF(D71&lt;=0,-C71*D71*2.5/10000,C71*D71*12.5/10000))</f>
        <v/>
      </c>
      <c r="F71" s="27">
        <f>IF(B71="","",C71*D71-E71)</f>
        <v/>
      </c>
      <c r="G71" s="6">
        <f>IF(B71="","",IF(COUNTIF(盘中持仓!B:B,B71),VLOOKUP(B71,盘中持仓!B:D,3,0),0))</f>
        <v/>
      </c>
      <c r="H71" s="27">
        <f>IF(B71="","",IF(G71&lt;&gt;0,IF(G71&gt;0,"","交易超限"),"该股票未持仓，仅可买入"))</f>
        <v/>
      </c>
    </row>
    <row r="72">
      <c r="A72" s="6" t="n">
        <v>71</v>
      </c>
      <c r="B72" s="6" t="n"/>
      <c r="C72" s="27" t="n"/>
      <c r="D72" s="6" t="n"/>
      <c r="E72" s="27">
        <f>IF(B72="","",IF(D72&lt;=0,-C72*D72*2.5/10000,C72*D72*12.5/10000))</f>
        <v/>
      </c>
      <c r="F72" s="27">
        <f>IF(B72="","",C72*D72-E72)</f>
        <v/>
      </c>
      <c r="G72" s="6">
        <f>IF(B72="","",IF(COUNTIF(盘中持仓!B:B,B72),VLOOKUP(B72,盘中持仓!B:D,3,0),0))</f>
        <v/>
      </c>
      <c r="H72" s="27">
        <f>IF(B72="","",IF(G72&lt;&gt;0,IF(G72&gt;0,"","交易超限"),"该股票未持仓，仅可买入"))</f>
        <v/>
      </c>
    </row>
    <row r="73">
      <c r="A73" s="6" t="n">
        <v>72</v>
      </c>
      <c r="B73" s="6" t="n"/>
      <c r="C73" s="27" t="n"/>
      <c r="D73" s="6" t="n"/>
      <c r="E73" s="27">
        <f>IF(B73="","",IF(D73&lt;=0,-C73*D73*2.5/10000,C73*D73*12.5/10000))</f>
        <v/>
      </c>
      <c r="F73" s="27">
        <f>IF(B73="","",C73*D73-E73)</f>
        <v/>
      </c>
      <c r="G73" s="6">
        <f>IF(B73="","",IF(COUNTIF(盘中持仓!B:B,B73),VLOOKUP(B73,盘中持仓!B:D,3,0),0))</f>
        <v/>
      </c>
      <c r="H73" s="27">
        <f>IF(B73="","",IF(G73&lt;&gt;0,IF(G73&gt;0,"","交易超限"),"该股票未持仓，仅可买入"))</f>
        <v/>
      </c>
    </row>
    <row r="74">
      <c r="A74" s="6" t="n">
        <v>73</v>
      </c>
      <c r="B74" s="6" t="n"/>
      <c r="C74" s="27" t="n"/>
      <c r="D74" s="6" t="n"/>
      <c r="E74" s="27">
        <f>IF(B74="","",IF(D74&lt;=0,-C74*D74*2.5/10000,C74*D74*12.5/10000))</f>
        <v/>
      </c>
      <c r="F74" s="27">
        <f>IF(B74="","",C74*D74-E74)</f>
        <v/>
      </c>
      <c r="G74" s="6">
        <f>IF(B74="","",IF(COUNTIF(盘中持仓!B:B,B74),VLOOKUP(B74,盘中持仓!B:D,3,0),0))</f>
        <v/>
      </c>
      <c r="H74" s="27">
        <f>IF(B74="","",IF(G74&lt;&gt;0,IF(G74&gt;0,"","交易超限"),"该股票未持仓，仅可买入"))</f>
        <v/>
      </c>
    </row>
    <row r="75">
      <c r="A75" s="6" t="n">
        <v>74</v>
      </c>
      <c r="B75" s="6" t="n"/>
      <c r="C75" s="27" t="n"/>
      <c r="D75" s="6" t="n"/>
      <c r="E75" s="27">
        <f>IF(B75="","",IF(D75&lt;=0,-C75*D75*2.5/10000,C75*D75*12.5/10000))</f>
        <v/>
      </c>
      <c r="F75" s="27">
        <f>IF(B75="","",C75*D75-E75)</f>
        <v/>
      </c>
      <c r="G75" s="6">
        <f>IF(B75="","",IF(COUNTIF(盘中持仓!B:B,B75),VLOOKUP(B75,盘中持仓!B:D,3,0),0))</f>
        <v/>
      </c>
      <c r="H75" s="27">
        <f>IF(B75="","",IF(G75&lt;&gt;0,IF(G75&gt;0,"","交易超限"),"该股票未持仓，仅可买入"))</f>
        <v/>
      </c>
    </row>
    <row r="76">
      <c r="A76" s="6" t="n">
        <v>75</v>
      </c>
      <c r="B76" s="6" t="n"/>
      <c r="C76" s="27" t="n"/>
      <c r="D76" s="6" t="n"/>
      <c r="E76" s="27">
        <f>IF(B76="","",IF(D76&lt;=0,-C76*D76*2.5/10000,C76*D76*12.5/10000))</f>
        <v/>
      </c>
      <c r="F76" s="27">
        <f>IF(B76="","",C76*D76-E76)</f>
        <v/>
      </c>
      <c r="G76" s="6">
        <f>IF(B76="","",IF(COUNTIF(盘中持仓!B:B,B76),VLOOKUP(B76,盘中持仓!B:D,3,0),0))</f>
        <v/>
      </c>
      <c r="H76" s="27">
        <f>IF(B76="","",IF(G76&lt;&gt;0,IF(G76&gt;0,"","交易超限"),"该股票未持仓，仅可买入"))</f>
        <v/>
      </c>
    </row>
    <row r="77">
      <c r="A77" s="6" t="n">
        <v>76</v>
      </c>
      <c r="B77" s="6" t="n"/>
      <c r="C77" s="27" t="n"/>
      <c r="D77" s="6" t="n"/>
      <c r="E77" s="27">
        <f>IF(B77="","",IF(D77&lt;=0,-C77*D77*2.5/10000,C77*D77*12.5/10000))</f>
        <v/>
      </c>
      <c r="F77" s="27">
        <f>IF(B77="","",C77*D77-E77)</f>
        <v/>
      </c>
      <c r="G77" s="6">
        <f>IF(B77="","",IF(COUNTIF(盘中持仓!B:B,B77),VLOOKUP(B77,盘中持仓!B:D,3,0),0))</f>
        <v/>
      </c>
      <c r="H77" s="27">
        <f>IF(B77="","",IF(G77&lt;&gt;0,IF(G77&gt;0,"","交易超限"),"该股票未持仓，仅可买入"))</f>
        <v/>
      </c>
    </row>
    <row r="78">
      <c r="A78" s="6" t="n">
        <v>77</v>
      </c>
      <c r="B78" s="6" t="n"/>
      <c r="C78" s="27" t="n"/>
      <c r="D78" s="6" t="n"/>
      <c r="E78" s="27">
        <f>IF(B78="","",IF(D78&lt;=0,-C78*D78*2.5/10000,C78*D78*12.5/10000))</f>
        <v/>
      </c>
      <c r="F78" s="27">
        <f>IF(B78="","",C78*D78-E78)</f>
        <v/>
      </c>
      <c r="G78" s="6">
        <f>IF(B78="","",IF(COUNTIF(盘中持仓!B:B,B78),VLOOKUP(B78,盘中持仓!B:D,3,0),0))</f>
        <v/>
      </c>
      <c r="H78" s="27">
        <f>IF(B78="","",IF(G78&lt;&gt;0,IF(G78&gt;0,"","交易超限"),"该股票未持仓，仅可买入"))</f>
        <v/>
      </c>
    </row>
    <row r="79">
      <c r="A79" s="6" t="n">
        <v>78</v>
      </c>
      <c r="B79" s="6" t="n"/>
      <c r="C79" s="27" t="n"/>
      <c r="D79" s="6" t="n"/>
      <c r="E79" s="27">
        <f>IF(B79="","",IF(D79&lt;=0,-C79*D79*2.5/10000,C79*D79*12.5/10000))</f>
        <v/>
      </c>
      <c r="F79" s="27">
        <f>IF(B79="","",C79*D79-E79)</f>
        <v/>
      </c>
      <c r="G79" s="6">
        <f>IF(B79="","",IF(COUNTIF(盘中持仓!B:B,B79),VLOOKUP(B79,盘中持仓!B:D,3,0),0))</f>
        <v/>
      </c>
      <c r="H79" s="27">
        <f>IF(B79="","",IF(G79&lt;&gt;0,IF(G79&gt;0,"","交易超限"),"该股票未持仓，仅可买入"))</f>
        <v/>
      </c>
    </row>
    <row r="80">
      <c r="A80" s="6" t="n">
        <v>79</v>
      </c>
      <c r="B80" s="6" t="n"/>
      <c r="C80" s="27" t="n"/>
      <c r="D80" s="6" t="n"/>
      <c r="E80" s="27">
        <f>IF(B80="","",IF(D80&lt;=0,-C80*D80*2.5/10000,C80*D80*12.5/10000))</f>
        <v/>
      </c>
      <c r="F80" s="27">
        <f>IF(B80="","",C80*D80-E80)</f>
        <v/>
      </c>
      <c r="G80" s="6">
        <f>IF(B80="","",IF(COUNTIF(盘中持仓!B:B,B80),VLOOKUP(B80,盘中持仓!B:D,3,0),0))</f>
        <v/>
      </c>
      <c r="H80" s="27">
        <f>IF(B80="","",IF(G80&lt;&gt;0,IF(G80&gt;0,"","交易超限"),"该股票未持仓，仅可买入"))</f>
        <v/>
      </c>
    </row>
    <row r="81">
      <c r="A81" s="6" t="n">
        <v>80</v>
      </c>
      <c r="B81" s="6" t="n"/>
      <c r="C81" s="27" t="n"/>
      <c r="D81" s="6" t="n"/>
      <c r="E81" s="27">
        <f>IF(B81="","",IF(D81&lt;=0,-C81*D81*2.5/10000,C81*D81*12.5/10000))</f>
        <v/>
      </c>
      <c r="F81" s="27">
        <f>IF(B81="","",C81*D81-E81)</f>
        <v/>
      </c>
      <c r="G81" s="6">
        <f>IF(B81="","",IF(COUNTIF(盘中持仓!B:B,B81),VLOOKUP(B81,盘中持仓!B:D,3,0),0))</f>
        <v/>
      </c>
      <c r="H81" s="27">
        <f>IF(B81="","",IF(G81&lt;&gt;0,IF(G81&gt;0,"","交易超限"),"该股票未持仓，仅可买入"))</f>
        <v/>
      </c>
    </row>
    <row r="82">
      <c r="A82" s="6" t="n">
        <v>81</v>
      </c>
      <c r="B82" s="6" t="n"/>
      <c r="C82" s="27" t="n"/>
      <c r="D82" s="6" t="n"/>
      <c r="E82" s="27">
        <f>IF(B82="","",IF(D82&lt;=0,-C82*D82*2.5/10000,C82*D82*12.5/10000))</f>
        <v/>
      </c>
      <c r="F82" s="27">
        <f>IF(B82="","",C82*D82-E82)</f>
        <v/>
      </c>
      <c r="G82" s="6">
        <f>IF(B82="","",IF(COUNTIF(盘中持仓!B:B,B82),VLOOKUP(B82,盘中持仓!B:D,3,0),0))</f>
        <v/>
      </c>
      <c r="H82" s="27">
        <f>IF(B82="","",IF(G82&lt;&gt;0,IF(G82&gt;0,"","交易超限"),"该股票未持仓，仅可买入"))</f>
        <v/>
      </c>
    </row>
    <row r="83">
      <c r="A83" s="6" t="n">
        <v>82</v>
      </c>
      <c r="B83" s="6" t="n"/>
      <c r="C83" s="27" t="n"/>
      <c r="D83" s="6" t="n"/>
      <c r="E83" s="27">
        <f>IF(B83="","",IF(D83&lt;=0,-C83*D83*2.5/10000,C83*D83*12.5/10000))</f>
        <v/>
      </c>
      <c r="F83" s="27">
        <f>IF(B83="","",C83*D83-E83)</f>
        <v/>
      </c>
      <c r="G83" s="6">
        <f>IF(B83="","",IF(COUNTIF(盘中持仓!B:B,B83),VLOOKUP(B83,盘中持仓!B:D,3,0),0))</f>
        <v/>
      </c>
      <c r="H83" s="27">
        <f>IF(B83="","",IF(G83&lt;&gt;0,IF(G83&gt;0,"","交易超限"),"该股票未持仓，仅可买入"))</f>
        <v/>
      </c>
    </row>
    <row r="84">
      <c r="A84" s="6" t="n">
        <v>83</v>
      </c>
      <c r="B84" s="6" t="n"/>
      <c r="C84" s="27" t="n"/>
      <c r="D84" s="6" t="n"/>
      <c r="E84" s="27">
        <f>IF(B84="","",IF(D84&lt;=0,-C84*D84*2.5/10000,C84*D84*12.5/10000))</f>
        <v/>
      </c>
      <c r="F84" s="27">
        <f>IF(B84="","",C84*D84-E84)</f>
        <v/>
      </c>
      <c r="G84" s="6">
        <f>IF(B84="","",IF(COUNTIF(盘中持仓!B:B,B84),VLOOKUP(B84,盘中持仓!B:D,3,0),0))</f>
        <v/>
      </c>
      <c r="H84" s="27">
        <f>IF(B84="","",IF(G84&lt;&gt;0,IF(G84&gt;0,"","交易超限"),"该股票未持仓，仅可买入"))</f>
        <v/>
      </c>
    </row>
    <row r="85">
      <c r="A85" s="6" t="n">
        <v>84</v>
      </c>
      <c r="B85" s="6" t="n"/>
      <c r="C85" s="27" t="n"/>
      <c r="D85" s="6" t="n"/>
      <c r="E85" s="27">
        <f>IF(B85="","",IF(D85&lt;=0,-C85*D85*2.5/10000,C85*D85*12.5/10000))</f>
        <v/>
      </c>
      <c r="F85" s="27">
        <f>IF(B85="","",C85*D85-E85)</f>
        <v/>
      </c>
      <c r="G85" s="6">
        <f>IF(B85="","",IF(COUNTIF(盘中持仓!B:B,B85),VLOOKUP(B85,盘中持仓!B:D,3,0),0))</f>
        <v/>
      </c>
      <c r="H85" s="27">
        <f>IF(B85="","",IF(G85&lt;&gt;0,IF(G85&gt;0,"","交易超限"),"该股票未持仓，仅可买入"))</f>
        <v/>
      </c>
    </row>
    <row r="86">
      <c r="A86" s="6" t="n">
        <v>85</v>
      </c>
      <c r="B86" s="6" t="n"/>
      <c r="C86" s="27" t="n"/>
      <c r="D86" s="6" t="n"/>
      <c r="E86" s="27">
        <f>IF(B86="","",IF(D86&lt;=0,-C86*D86*2.5/10000,C86*D86*12.5/10000))</f>
        <v/>
      </c>
      <c r="F86" s="27">
        <f>IF(B86="","",C86*D86-E86)</f>
        <v/>
      </c>
      <c r="G86" s="6">
        <f>IF(B86="","",IF(COUNTIF(盘中持仓!B:B,B86),VLOOKUP(B86,盘中持仓!B:D,3,0),0))</f>
        <v/>
      </c>
      <c r="H86" s="27">
        <f>IF(B86="","",IF(G86&lt;&gt;0,IF(G86&gt;0,"","交易超限"),"该股票未持仓，仅可买入"))</f>
        <v/>
      </c>
    </row>
    <row r="87">
      <c r="A87" s="6" t="n">
        <v>86</v>
      </c>
      <c r="B87" s="6" t="n"/>
      <c r="C87" s="27" t="n"/>
      <c r="D87" s="6" t="n"/>
      <c r="E87" s="27">
        <f>IF(B87="","",IF(D87&lt;=0,-C87*D87*2.5/10000,C87*D87*12.5/10000))</f>
        <v/>
      </c>
      <c r="F87" s="27">
        <f>IF(B87="","",C87*D87-E87)</f>
        <v/>
      </c>
      <c r="G87" s="6">
        <f>IF(B87="","",IF(COUNTIF(盘中持仓!B:B,B87),VLOOKUP(B87,盘中持仓!B:D,3,0),0))</f>
        <v/>
      </c>
      <c r="H87" s="27">
        <f>IF(B87="","",IF(G87&lt;&gt;0,IF(G87&gt;0,"","交易超限"),"该股票未持仓，仅可买入"))</f>
        <v/>
      </c>
    </row>
    <row r="88">
      <c r="A88" s="6" t="n">
        <v>87</v>
      </c>
      <c r="B88" s="6" t="n"/>
      <c r="C88" s="27" t="n"/>
      <c r="D88" s="6" t="n"/>
      <c r="E88" s="27">
        <f>IF(B88="","",IF(D88&lt;=0,-C88*D88*2.5/10000,C88*D88*12.5/10000))</f>
        <v/>
      </c>
      <c r="F88" s="27">
        <f>IF(B88="","",C88*D88-E88)</f>
        <v/>
      </c>
      <c r="G88" s="6">
        <f>IF(B88="","",IF(COUNTIF(盘中持仓!B:B,B88),VLOOKUP(B88,盘中持仓!B:D,3,0),0))</f>
        <v/>
      </c>
      <c r="H88" s="27">
        <f>IF(B88="","",IF(G88&lt;&gt;0,IF(G88&gt;0,"","交易超限"),"该股票未持仓，仅可买入"))</f>
        <v/>
      </c>
    </row>
    <row r="89">
      <c r="A89" s="6" t="n">
        <v>88</v>
      </c>
      <c r="B89" s="6" t="n"/>
      <c r="C89" s="27" t="n"/>
      <c r="D89" s="6" t="n"/>
      <c r="E89" s="27">
        <f>IF(B89="","",IF(D89&lt;=0,-C89*D89*2.5/10000,C89*D89*12.5/10000))</f>
        <v/>
      </c>
      <c r="F89" s="27">
        <f>IF(B89="","",C89*D89-E89)</f>
        <v/>
      </c>
      <c r="G89" s="6">
        <f>IF(B89="","",IF(COUNTIF(盘中持仓!B:B,B89),VLOOKUP(B89,盘中持仓!B:D,3,0),0))</f>
        <v/>
      </c>
      <c r="H89" s="27">
        <f>IF(B89="","",IF(G89&lt;&gt;0,IF(G89&gt;0,"","交易超限"),"该股票未持仓，仅可买入"))</f>
        <v/>
      </c>
    </row>
    <row r="90">
      <c r="A90" s="6" t="n">
        <v>89</v>
      </c>
      <c r="B90" s="6" t="n"/>
      <c r="C90" s="27" t="n"/>
      <c r="D90" s="6" t="n"/>
      <c r="E90" s="27">
        <f>IF(B90="","",IF(D90&lt;=0,-C90*D90*2.5/10000,C90*D90*12.5/10000))</f>
        <v/>
      </c>
      <c r="F90" s="27">
        <f>IF(B90="","",C90*D90-E90)</f>
        <v/>
      </c>
      <c r="G90" s="6">
        <f>IF(B90="","",IF(COUNTIF(盘中持仓!B:B,B90),VLOOKUP(B90,盘中持仓!B:D,3,0),0))</f>
        <v/>
      </c>
      <c r="H90" s="27">
        <f>IF(B90="","",IF(G90&lt;&gt;0,IF(G90&gt;0,"","交易超限"),"该股票未持仓，仅可买入"))</f>
        <v/>
      </c>
    </row>
    <row r="91">
      <c r="A91" s="6" t="n">
        <v>90</v>
      </c>
      <c r="B91" s="6" t="n"/>
      <c r="C91" s="27" t="n"/>
      <c r="D91" s="6" t="n"/>
      <c r="E91" s="27">
        <f>IF(B91="","",IF(D91&lt;=0,-C91*D91*2.5/10000,C91*D91*12.5/10000))</f>
        <v/>
      </c>
      <c r="F91" s="27">
        <f>IF(B91="","",C91*D91-E91)</f>
        <v/>
      </c>
      <c r="G91" s="6">
        <f>IF(B91="","",IF(COUNTIF(盘中持仓!B:B,B91),VLOOKUP(B91,盘中持仓!B:D,3,0),0))</f>
        <v/>
      </c>
      <c r="H91" s="27">
        <f>IF(B91="","",IF(G91&lt;&gt;0,IF(G91&gt;0,"","交易超限"),"该股票未持仓，仅可买入"))</f>
        <v/>
      </c>
    </row>
    <row r="92">
      <c r="A92" s="6" t="n">
        <v>91</v>
      </c>
      <c r="B92" s="6" t="n"/>
      <c r="C92" s="27" t="n"/>
      <c r="D92" s="6" t="n"/>
      <c r="E92" s="27">
        <f>IF(B92="","",IF(D92&lt;=0,-C92*D92*2.5/10000,C92*D92*12.5/10000))</f>
        <v/>
      </c>
      <c r="F92" s="27">
        <f>IF(B92="","",C92*D92-E92)</f>
        <v/>
      </c>
      <c r="G92" s="6">
        <f>IF(B92="","",IF(COUNTIF(盘中持仓!B:B,B92),VLOOKUP(B92,盘中持仓!B:D,3,0),0))</f>
        <v/>
      </c>
      <c r="H92" s="27">
        <f>IF(B92="","",IF(G92&lt;&gt;0,IF(G92&gt;0,"","交易超限"),"该股票未持仓，仅可买入"))</f>
        <v/>
      </c>
    </row>
    <row r="93">
      <c r="A93" s="6" t="n">
        <v>92</v>
      </c>
      <c r="B93" s="6" t="n"/>
      <c r="C93" s="27" t="n"/>
      <c r="D93" s="6" t="n"/>
      <c r="E93" s="27">
        <f>IF(B93="","",IF(D93&lt;=0,-C93*D93*2.5/10000,C93*D93*12.5/10000))</f>
        <v/>
      </c>
      <c r="F93" s="27">
        <f>IF(B93="","",C93*D93-E93)</f>
        <v/>
      </c>
      <c r="G93" s="6">
        <f>IF(B93="","",IF(COUNTIF(盘中持仓!B:B,B93),VLOOKUP(B93,盘中持仓!B:D,3,0),0))</f>
        <v/>
      </c>
      <c r="H93" s="27">
        <f>IF(B93="","",IF(G93&lt;&gt;0,IF(G93&gt;0,"","交易超限"),"该股票未持仓，仅可买入"))</f>
        <v/>
      </c>
    </row>
    <row r="94">
      <c r="A94" s="6" t="n">
        <v>93</v>
      </c>
      <c r="B94" s="6" t="n"/>
      <c r="C94" s="27" t="n"/>
      <c r="D94" s="6" t="n"/>
      <c r="E94" s="27">
        <f>IF(B94="","",IF(D94&lt;=0,-C94*D94*2.5/10000,C94*D94*12.5/10000))</f>
        <v/>
      </c>
      <c r="F94" s="27">
        <f>IF(B94="","",C94*D94-E94)</f>
        <v/>
      </c>
      <c r="G94" s="6">
        <f>IF(B94="","",IF(COUNTIF(盘中持仓!B:B,B94),VLOOKUP(B94,盘中持仓!B:D,3,0),0))</f>
        <v/>
      </c>
      <c r="H94" s="27">
        <f>IF(B94="","",IF(G94&lt;&gt;0,IF(G94&gt;0,"","交易超限"),"该股票未持仓，仅可买入"))</f>
        <v/>
      </c>
    </row>
    <row r="95">
      <c r="A95" s="6" t="n">
        <v>94</v>
      </c>
      <c r="B95" s="6" t="n"/>
      <c r="C95" s="27" t="n"/>
      <c r="D95" s="6" t="n"/>
      <c r="E95" s="27">
        <f>IF(B95="","",IF(D95&lt;=0,-C95*D95*2.5/10000,C95*D95*12.5/10000))</f>
        <v/>
      </c>
      <c r="F95" s="27">
        <f>IF(B95="","",C95*D95-E95)</f>
        <v/>
      </c>
      <c r="G95" s="6">
        <f>IF(B95="","",IF(COUNTIF(盘中持仓!B:B,B95),VLOOKUP(B95,盘中持仓!B:D,3,0),0))</f>
        <v/>
      </c>
      <c r="H95" s="27">
        <f>IF(B95="","",IF(G95&lt;&gt;0,IF(G95&gt;0,"","交易超限"),"该股票未持仓，仅可买入"))</f>
        <v/>
      </c>
    </row>
    <row r="96">
      <c r="A96" s="6" t="n">
        <v>95</v>
      </c>
      <c r="B96" s="6" t="n"/>
      <c r="C96" s="27" t="n"/>
      <c r="D96" s="6" t="n"/>
      <c r="E96" s="27">
        <f>IF(B96="","",IF(D96&lt;=0,-C96*D96*2.5/10000,C96*D96*12.5/10000))</f>
        <v/>
      </c>
      <c r="F96" s="27">
        <f>IF(B96="","",C96*D96-E96)</f>
        <v/>
      </c>
      <c r="G96" s="6">
        <f>IF(B96="","",IF(COUNTIF(盘中持仓!B:B,B96),VLOOKUP(B96,盘中持仓!B:D,3,0),0))</f>
        <v/>
      </c>
      <c r="H96" s="27">
        <f>IF(B96="","",IF(G96&lt;&gt;0,IF(G96&gt;0,"","交易超限"),"该股票未持仓，仅可买入"))</f>
        <v/>
      </c>
    </row>
    <row r="97">
      <c r="A97" s="6" t="n">
        <v>96</v>
      </c>
      <c r="B97" s="6" t="n"/>
      <c r="C97" s="27" t="n"/>
      <c r="D97" s="6" t="n"/>
      <c r="E97" s="27">
        <f>IF(B97="","",IF(D97&lt;=0,-C97*D97*2.5/10000,C97*D97*12.5/10000))</f>
        <v/>
      </c>
      <c r="F97" s="27">
        <f>IF(B97="","",C97*D97-E97)</f>
        <v/>
      </c>
      <c r="G97" s="6">
        <f>IF(B97="","",IF(COUNTIF(盘中持仓!B:B,B97),VLOOKUP(B97,盘中持仓!B:D,3,0),0))</f>
        <v/>
      </c>
      <c r="H97" s="27">
        <f>IF(B97="","",IF(G97&lt;&gt;0,IF(G97&gt;0,"","交易超限"),"该股票未持仓，仅可买入"))</f>
        <v/>
      </c>
    </row>
    <row r="98">
      <c r="A98" s="6" t="n">
        <v>97</v>
      </c>
      <c r="B98" s="6" t="n"/>
      <c r="C98" s="27" t="n"/>
      <c r="D98" s="6" t="n"/>
      <c r="E98" s="27">
        <f>IF(B98="","",IF(D98&lt;=0,-C98*D98*2.5/10000,C98*D98*12.5/10000))</f>
        <v/>
      </c>
      <c r="F98" s="27">
        <f>IF(B98="","",C98*D98-E98)</f>
        <v/>
      </c>
      <c r="G98" s="6">
        <f>IF(B98="","",IF(COUNTIF(盘中持仓!B:B,B98),VLOOKUP(B98,盘中持仓!B:D,3,0),0))</f>
        <v/>
      </c>
      <c r="H98" s="27">
        <f>IF(B98="","",IF(G98&lt;&gt;0,IF(G98&gt;0,"","交易超限"),"该股票未持仓，仅可买入"))</f>
        <v/>
      </c>
    </row>
    <row r="99">
      <c r="A99" s="6" t="n">
        <v>98</v>
      </c>
      <c r="B99" s="6" t="n"/>
      <c r="C99" s="27" t="n"/>
      <c r="D99" s="6" t="n"/>
      <c r="E99" s="27">
        <f>IF(B99="","",IF(D99&lt;=0,-C99*D99*2.5/10000,C99*D99*12.5/10000))</f>
        <v/>
      </c>
      <c r="F99" s="27">
        <f>IF(B99="","",C99*D99-E99)</f>
        <v/>
      </c>
      <c r="G99" s="6">
        <f>IF(B99="","",IF(COUNTIF(盘中持仓!B:B,B99),VLOOKUP(B99,盘中持仓!B:D,3,0),0))</f>
        <v/>
      </c>
      <c r="H99" s="27">
        <f>IF(B99="","",IF(G99&lt;&gt;0,IF(G99&gt;0,"","交易超限"),"该股票未持仓，仅可买入"))</f>
        <v/>
      </c>
    </row>
    <row r="100">
      <c r="A100" s="6" t="n">
        <v>99</v>
      </c>
      <c r="B100" s="6" t="n"/>
      <c r="C100" s="27" t="n"/>
      <c r="D100" s="6" t="n"/>
      <c r="E100" s="27">
        <f>IF(B100="","",IF(D100&lt;=0,-C100*D100*2.5/10000,C100*D100*12.5/10000))</f>
        <v/>
      </c>
      <c r="F100" s="27">
        <f>IF(B100="","",C100*D100-E100)</f>
        <v/>
      </c>
      <c r="G100" s="6">
        <f>IF(B100="","",IF(COUNTIF(盘中持仓!B:B,B100),VLOOKUP(B100,盘中持仓!B:D,3,0),0))</f>
        <v/>
      </c>
      <c r="H100" s="27">
        <f>IF(B100="","",IF(G100&lt;&gt;0,IF(G100&gt;0,"","交易超限"),"该股票未持仓，仅可买入"))</f>
        <v/>
      </c>
    </row>
    <row r="101">
      <c r="A101" s="6" t="n">
        <v>100</v>
      </c>
      <c r="B101" s="6" t="n"/>
      <c r="C101" s="27" t="n"/>
      <c r="D101" s="6" t="n"/>
      <c r="E101" s="27">
        <f>IF(B101="","",IF(D101&lt;=0,-C101*D101*2.5/10000,C101*D101*12.5/10000))</f>
        <v/>
      </c>
      <c r="F101" s="27">
        <f>IF(B101="","",C101*D101-E101)</f>
        <v/>
      </c>
      <c r="G101" s="6">
        <f>IF(B101="","",IF(COUNTIF(盘中持仓!B:B,B101),VLOOKUP(B101,盘中持仓!B:D,3,0),0))</f>
        <v/>
      </c>
      <c r="H101" s="27">
        <f>IF(B101="","",IF(G101&lt;&gt;0,IF(G101&gt;0,"","交易超限"),"该股票未持仓，仅可买入"))</f>
        <v/>
      </c>
    </row>
    <row r="102">
      <c r="A102" s="6" t="n">
        <v>101</v>
      </c>
      <c r="B102" s="6" t="n"/>
      <c r="C102" s="27" t="n"/>
      <c r="D102" s="6" t="n"/>
      <c r="E102" s="27">
        <f>IF(B102="","",IF(D102&lt;=0,-C102*D102*2.5/10000,C102*D102*12.5/10000))</f>
        <v/>
      </c>
      <c r="F102" s="27">
        <f>IF(B102="","",C102*D102-E102)</f>
        <v/>
      </c>
      <c r="G102" s="6">
        <f>IF(B102="","",IF(COUNTIF(盘中持仓!B:B,B102),VLOOKUP(B102,盘中持仓!B:D,3,0),0))</f>
        <v/>
      </c>
      <c r="H102" s="27">
        <f>IF(B102="","",IF(G102&lt;&gt;0,IF(G102&gt;0,"","交易超限"),"该股票未持仓，仅可买入"))</f>
        <v/>
      </c>
    </row>
    <row r="103">
      <c r="A103" s="6" t="n">
        <v>102</v>
      </c>
      <c r="B103" s="6" t="n"/>
      <c r="C103" s="27" t="n"/>
      <c r="D103" s="6" t="n"/>
      <c r="E103" s="27">
        <f>IF(B103="","",IF(D103&lt;=0,-C103*D103*2.5/10000,C103*D103*12.5/10000))</f>
        <v/>
      </c>
      <c r="F103" s="27">
        <f>IF(B103="","",C103*D103-E103)</f>
        <v/>
      </c>
      <c r="G103" s="6">
        <f>IF(B103="","",IF(COUNTIF(盘中持仓!B:B,B103),VLOOKUP(B103,盘中持仓!B:D,3,0),0))</f>
        <v/>
      </c>
      <c r="H103" s="27">
        <f>IF(B103="","",IF(G103&lt;&gt;0,IF(G103&gt;0,"","交易超限"),"该股票未持仓，仅可买入"))</f>
        <v/>
      </c>
    </row>
    <row r="104">
      <c r="A104" s="6" t="n">
        <v>103</v>
      </c>
      <c r="B104" s="6" t="n"/>
      <c r="C104" s="27" t="n"/>
      <c r="D104" s="6" t="n"/>
      <c r="E104" s="27">
        <f>IF(B104="","",IF(D104&lt;=0,-C104*D104*2.5/10000,C104*D104*12.5/10000))</f>
        <v/>
      </c>
      <c r="F104" s="27">
        <f>IF(B104="","",C104*D104-E104)</f>
        <v/>
      </c>
      <c r="G104" s="6">
        <f>IF(B104="","",IF(COUNTIF(盘中持仓!B:B,B104),VLOOKUP(B104,盘中持仓!B:D,3,0),0))</f>
        <v/>
      </c>
      <c r="H104" s="27">
        <f>IF(B104="","",IF(G104&lt;&gt;0,IF(G104&gt;0,"","交易超限"),"该股票未持仓，仅可买入"))</f>
        <v/>
      </c>
    </row>
    <row r="105">
      <c r="A105" s="6" t="n">
        <v>104</v>
      </c>
      <c r="B105" s="6" t="n"/>
      <c r="C105" s="27" t="n"/>
      <c r="D105" s="6" t="n"/>
      <c r="E105" s="27">
        <f>IF(B105="","",IF(D105&lt;=0,-C105*D105*2.5/10000,C105*D105*12.5/10000))</f>
        <v/>
      </c>
      <c r="F105" s="27">
        <f>IF(B105="","",C105*D105-E105)</f>
        <v/>
      </c>
      <c r="G105" s="6">
        <f>IF(B105="","",IF(COUNTIF(盘中持仓!B:B,B105),VLOOKUP(B105,盘中持仓!B:D,3,0),0))</f>
        <v/>
      </c>
      <c r="H105" s="27">
        <f>IF(B105="","",IF(G105&lt;&gt;0,IF(G105&gt;0,"","交易超限"),"该股票未持仓，仅可买入"))</f>
        <v/>
      </c>
    </row>
    <row r="106">
      <c r="A106" s="6" t="n">
        <v>105</v>
      </c>
      <c r="B106" s="6" t="n"/>
      <c r="C106" s="27" t="n"/>
      <c r="D106" s="6" t="n"/>
      <c r="E106" s="27">
        <f>IF(B106="","",IF(D106&lt;=0,-C106*D106*2.5/10000,C106*D106*12.5/10000))</f>
        <v/>
      </c>
      <c r="F106" s="27">
        <f>IF(B106="","",C106*D106-E106)</f>
        <v/>
      </c>
      <c r="G106" s="6">
        <f>IF(B106="","",IF(COUNTIF(盘中持仓!B:B,B106),VLOOKUP(B106,盘中持仓!B:D,3,0),0))</f>
        <v/>
      </c>
      <c r="H106" s="27">
        <f>IF(B106="","",IF(G106&lt;&gt;0,IF(G106&gt;0,"","交易超限"),"该股票未持仓，仅可买入"))</f>
        <v/>
      </c>
    </row>
    <row r="107">
      <c r="A107" s="6" t="n">
        <v>106</v>
      </c>
      <c r="B107" s="6" t="n"/>
      <c r="C107" s="27" t="n"/>
      <c r="D107" s="6" t="n"/>
      <c r="E107" s="27">
        <f>IF(B107="","",IF(D107&lt;=0,-C107*D107*2.5/10000,C107*D107*12.5/10000))</f>
        <v/>
      </c>
      <c r="F107" s="27">
        <f>IF(B107="","",C107*D107-E107)</f>
        <v/>
      </c>
      <c r="G107" s="6">
        <f>IF(B107="","",IF(COUNTIF(盘中持仓!B:B,B107),VLOOKUP(B107,盘中持仓!B:D,3,0),0))</f>
        <v/>
      </c>
      <c r="H107" s="27">
        <f>IF(B107="","",IF(G107&lt;&gt;0,IF(G107&gt;0,"","交易超限"),"该股票未持仓，仅可买入"))</f>
        <v/>
      </c>
    </row>
    <row r="108">
      <c r="A108" s="6" t="n">
        <v>107</v>
      </c>
      <c r="B108" s="6" t="n"/>
      <c r="C108" s="27" t="n"/>
      <c r="D108" s="6" t="n"/>
      <c r="E108" s="27">
        <f>IF(B108="","",IF(D108&lt;=0,-C108*D108*2.5/10000,C108*D108*12.5/10000))</f>
        <v/>
      </c>
      <c r="F108" s="27">
        <f>IF(B108="","",C108*D108-E108)</f>
        <v/>
      </c>
      <c r="G108" s="6">
        <f>IF(B108="","",IF(COUNTIF(盘中持仓!B:B,B108),VLOOKUP(B108,盘中持仓!B:D,3,0),0))</f>
        <v/>
      </c>
      <c r="H108" s="27">
        <f>IF(B108="","",IF(G108&lt;&gt;0,IF(G108&gt;0,"","交易超限"),"该股票未持仓，仅可买入"))</f>
        <v/>
      </c>
    </row>
    <row r="109">
      <c r="A109" s="6" t="n">
        <v>108</v>
      </c>
      <c r="B109" s="6" t="n"/>
      <c r="C109" s="27" t="n"/>
      <c r="D109" s="6" t="n"/>
      <c r="E109" s="27">
        <f>IF(B109="","",IF(D109&lt;=0,-C109*D109*2.5/10000,C109*D109*12.5/10000))</f>
        <v/>
      </c>
      <c r="F109" s="27">
        <f>IF(B109="","",C109*D109-E109)</f>
        <v/>
      </c>
      <c r="G109" s="6">
        <f>IF(B109="","",IF(COUNTIF(盘中持仓!B:B,B109),VLOOKUP(B109,盘中持仓!B:D,3,0),0))</f>
        <v/>
      </c>
      <c r="H109" s="27">
        <f>IF(B109="","",IF(G109&lt;&gt;0,IF(G109&gt;0,"","交易超限"),"该股票未持仓，仅可买入"))</f>
        <v/>
      </c>
    </row>
    <row r="110">
      <c r="A110" s="6" t="n">
        <v>109</v>
      </c>
      <c r="B110" s="6" t="n"/>
      <c r="C110" s="27" t="n"/>
      <c r="D110" s="6" t="n"/>
      <c r="E110" s="27">
        <f>IF(B110="","",IF(D110&lt;=0,-C110*D110*2.5/10000,C110*D110*12.5/10000))</f>
        <v/>
      </c>
      <c r="F110" s="27">
        <f>IF(B110="","",C110*D110-E110)</f>
        <v/>
      </c>
      <c r="G110" s="6">
        <f>IF(B110="","",IF(COUNTIF(盘中持仓!B:B,B110),VLOOKUP(B110,盘中持仓!B:D,3,0),0))</f>
        <v/>
      </c>
      <c r="H110" s="27">
        <f>IF(B110="","",IF(G110&lt;&gt;0,IF(G110&gt;0,"","交易超限"),"该股票未持仓，仅可买入"))</f>
        <v/>
      </c>
    </row>
    <row r="111">
      <c r="A111" s="6" t="n">
        <v>110</v>
      </c>
      <c r="B111" s="6" t="n"/>
      <c r="C111" s="27" t="n"/>
      <c r="D111" s="6" t="n"/>
      <c r="E111" s="27">
        <f>IF(B111="","",IF(D111&lt;=0,-C111*D111*2.5/10000,C111*D111*12.5/10000))</f>
        <v/>
      </c>
      <c r="F111" s="27">
        <f>IF(B111="","",C111*D111-E111)</f>
        <v/>
      </c>
      <c r="G111" s="6">
        <f>IF(B111="","",IF(COUNTIF(盘中持仓!B:B,B111),VLOOKUP(B111,盘中持仓!B:D,3,0),0))</f>
        <v/>
      </c>
      <c r="H111" s="27">
        <f>IF(B111="","",IF(G111&lt;&gt;0,IF(G111&gt;0,"","交易超限"),"该股票未持仓，仅可买入"))</f>
        <v/>
      </c>
    </row>
    <row r="112">
      <c r="A112" s="6" t="n">
        <v>111</v>
      </c>
      <c r="B112" s="6" t="n"/>
      <c r="C112" s="27" t="n"/>
      <c r="D112" s="6" t="n"/>
      <c r="E112" s="27">
        <f>IF(B112="","",IF(D112&lt;=0,-C112*D112*2.5/10000,C112*D112*12.5/10000))</f>
        <v/>
      </c>
      <c r="F112" s="27">
        <f>IF(B112="","",C112*D112-E112)</f>
        <v/>
      </c>
      <c r="G112" s="6">
        <f>IF(B112="","",IF(COUNTIF(盘中持仓!B:B,B112),VLOOKUP(B112,盘中持仓!B:D,3,0),0))</f>
        <v/>
      </c>
      <c r="H112" s="27">
        <f>IF(B112="","",IF(G112&lt;&gt;0,IF(G112&gt;0,"","交易超限"),"该股票未持仓，仅可买入"))</f>
        <v/>
      </c>
    </row>
    <row r="113">
      <c r="A113" s="6" t="n">
        <v>112</v>
      </c>
      <c r="B113" s="6" t="n"/>
      <c r="C113" s="27" t="n"/>
      <c r="D113" s="6" t="n"/>
      <c r="E113" s="27">
        <f>IF(B113="","",IF(D113&lt;=0,-C113*D113*2.5/10000,C113*D113*12.5/10000))</f>
        <v/>
      </c>
      <c r="F113" s="27">
        <f>IF(B113="","",C113*D113-E113)</f>
        <v/>
      </c>
      <c r="G113" s="6">
        <f>IF(B113="","",IF(COUNTIF(盘中持仓!B:B,B113),VLOOKUP(B113,盘中持仓!B:D,3,0),0))</f>
        <v/>
      </c>
      <c r="H113" s="27">
        <f>IF(B113="","",IF(G113&lt;&gt;0,IF(G113&gt;0,"","交易超限"),"该股票未持仓，仅可买入"))</f>
        <v/>
      </c>
    </row>
    <row r="114">
      <c r="A114" s="6" t="n">
        <v>113</v>
      </c>
      <c r="B114" s="6" t="n"/>
      <c r="C114" s="27" t="n"/>
      <c r="D114" s="6" t="n"/>
      <c r="E114" s="27">
        <f>IF(B114="","",IF(D114&lt;=0,-C114*D114*2.5/10000,C114*D114*12.5/10000))</f>
        <v/>
      </c>
      <c r="F114" s="27">
        <f>IF(B114="","",C114*D114-E114)</f>
        <v/>
      </c>
      <c r="G114" s="6">
        <f>IF(B114="","",IF(COUNTIF(盘中持仓!B:B,B114),VLOOKUP(B114,盘中持仓!B:D,3,0),0))</f>
        <v/>
      </c>
      <c r="H114" s="27">
        <f>IF(B114="","",IF(G114&lt;&gt;0,IF(G114&gt;0,"","交易超限"),"该股票未持仓，仅可买入"))</f>
        <v/>
      </c>
    </row>
    <row r="115">
      <c r="A115" s="6" t="n">
        <v>114</v>
      </c>
      <c r="B115" s="6" t="n"/>
      <c r="C115" s="27" t="n"/>
      <c r="D115" s="6" t="n"/>
      <c r="E115" s="27">
        <f>IF(B115="","",IF(D115&lt;=0,-C115*D115*2.5/10000,C115*D115*12.5/10000))</f>
        <v/>
      </c>
      <c r="F115" s="27">
        <f>IF(B115="","",C115*D115-E115)</f>
        <v/>
      </c>
      <c r="G115" s="6">
        <f>IF(B115="","",IF(COUNTIF(盘中持仓!B:B,B115),VLOOKUP(B115,盘中持仓!B:D,3,0),0))</f>
        <v/>
      </c>
      <c r="H115" s="27">
        <f>IF(B115="","",IF(G115&lt;&gt;0,IF(G115&gt;0,"","交易超限"),"该股票未持仓，仅可买入"))</f>
        <v/>
      </c>
    </row>
    <row r="116">
      <c r="A116" s="6" t="n">
        <v>115</v>
      </c>
      <c r="B116" s="6" t="n"/>
      <c r="C116" s="27" t="n"/>
      <c r="D116" s="6" t="n"/>
      <c r="E116" s="27">
        <f>IF(B116="","",IF(D116&lt;=0,-C116*D116*2.5/10000,C116*D116*12.5/10000))</f>
        <v/>
      </c>
      <c r="F116" s="27">
        <f>IF(B116="","",C116*D116-E116)</f>
        <v/>
      </c>
      <c r="G116" s="6">
        <f>IF(B116="","",IF(COUNTIF(盘中持仓!B:B,B116),VLOOKUP(B116,盘中持仓!B:D,3,0),0))</f>
        <v/>
      </c>
      <c r="H116" s="27">
        <f>IF(B116="","",IF(G116&lt;&gt;0,IF(G116&gt;0,"","交易超限"),"该股票未持仓，仅可买入"))</f>
        <v/>
      </c>
    </row>
    <row r="117">
      <c r="A117" s="6" t="n">
        <v>116</v>
      </c>
      <c r="B117" s="6" t="n"/>
      <c r="C117" s="27" t="n"/>
      <c r="D117" s="6" t="n"/>
      <c r="E117" s="27">
        <f>IF(B117="","",IF(D117&lt;=0,-C117*D117*2.5/10000,C117*D117*12.5/10000))</f>
        <v/>
      </c>
      <c r="F117" s="27">
        <f>IF(B117="","",C117*D117-E117)</f>
        <v/>
      </c>
      <c r="G117" s="6">
        <f>IF(B117="","",IF(COUNTIF(盘中持仓!B:B,B117),VLOOKUP(B117,盘中持仓!B:D,3,0),0))</f>
        <v/>
      </c>
      <c r="H117" s="27">
        <f>IF(B117="","",IF(G117&lt;&gt;0,IF(G117&gt;0,"","交易超限"),"该股票未持仓，仅可买入"))</f>
        <v/>
      </c>
    </row>
    <row r="118">
      <c r="A118" s="6" t="n">
        <v>117</v>
      </c>
      <c r="B118" s="6" t="n"/>
      <c r="C118" s="27" t="n"/>
      <c r="D118" s="6" t="n"/>
      <c r="E118" s="27">
        <f>IF(B118="","",IF(D118&lt;=0,-C118*D118*2.5/10000,C118*D118*12.5/10000))</f>
        <v/>
      </c>
      <c r="F118" s="27">
        <f>IF(B118="","",C118*D118-E118)</f>
        <v/>
      </c>
      <c r="G118" s="6">
        <f>IF(B118="","",IF(COUNTIF(盘中持仓!B:B,B118),VLOOKUP(B118,盘中持仓!B:D,3,0),0))</f>
        <v/>
      </c>
      <c r="H118" s="27">
        <f>IF(B118="","",IF(G118&lt;&gt;0,IF(G118&gt;0,"","交易超限"),"该股票未持仓，仅可买入"))</f>
        <v/>
      </c>
    </row>
    <row r="119">
      <c r="A119" s="6" t="n">
        <v>118</v>
      </c>
      <c r="B119" s="6" t="n"/>
      <c r="C119" s="27" t="n"/>
      <c r="D119" s="6" t="n"/>
      <c r="E119" s="27">
        <f>IF(B119="","",IF(D119&lt;=0,-C119*D119*2.5/10000,C119*D119*12.5/10000))</f>
        <v/>
      </c>
      <c r="F119" s="27">
        <f>IF(B119="","",C119*D119-E119)</f>
        <v/>
      </c>
      <c r="G119" s="6">
        <f>IF(B119="","",IF(COUNTIF(盘中持仓!B:B,B119),VLOOKUP(B119,盘中持仓!B:D,3,0),0))</f>
        <v/>
      </c>
      <c r="H119" s="27">
        <f>IF(B119="","",IF(G119&lt;&gt;0,IF(G119&gt;0,"","交易超限"),"该股票未持仓，仅可买入"))</f>
        <v/>
      </c>
    </row>
    <row r="120">
      <c r="A120" s="6" t="n">
        <v>119</v>
      </c>
      <c r="B120" s="6" t="n"/>
      <c r="C120" s="27" t="n"/>
      <c r="D120" s="6" t="n"/>
      <c r="E120" s="27">
        <f>IF(B120="","",IF(D120&lt;=0,-C120*D120*2.5/10000,C120*D120*12.5/10000))</f>
        <v/>
      </c>
      <c r="F120" s="27">
        <f>IF(B120="","",C120*D120-E120)</f>
        <v/>
      </c>
      <c r="G120" s="6">
        <f>IF(B120="","",IF(COUNTIF(盘中持仓!B:B,B120),VLOOKUP(B120,盘中持仓!B:D,3,0),0))</f>
        <v/>
      </c>
      <c r="H120" s="27">
        <f>IF(B120="","",IF(G120&lt;&gt;0,IF(G120&gt;0,"","交易超限"),"该股票未持仓，仅可买入"))</f>
        <v/>
      </c>
    </row>
    <row r="121">
      <c r="A121" s="6" t="n">
        <v>120</v>
      </c>
      <c r="B121" s="6" t="n"/>
      <c r="C121" s="27" t="n"/>
      <c r="D121" s="6" t="n"/>
      <c r="E121" s="27">
        <f>IF(B121="","",IF(D121&lt;=0,-C121*D121*2.5/10000,C121*D121*12.5/10000))</f>
        <v/>
      </c>
      <c r="F121" s="27">
        <f>IF(B121="","",C121*D121-E121)</f>
        <v/>
      </c>
      <c r="G121" s="6">
        <f>IF(B121="","",IF(COUNTIF(盘中持仓!B:B,B121),VLOOKUP(B121,盘中持仓!B:D,3,0),0))</f>
        <v/>
      </c>
      <c r="H121" s="27">
        <f>IF(B121="","",IF(G121&lt;&gt;0,IF(G121&gt;0,"","交易超限"),"该股票未持仓，仅可买入"))</f>
        <v/>
      </c>
    </row>
    <row r="122">
      <c r="A122" s="6" t="n">
        <v>121</v>
      </c>
      <c r="B122" s="6" t="n"/>
      <c r="C122" s="27" t="n"/>
      <c r="D122" s="6" t="n"/>
      <c r="E122" s="27">
        <f>IF(B122="","",IF(D122&lt;=0,-C122*D122*2.5/10000,C122*D122*12.5/10000))</f>
        <v/>
      </c>
      <c r="F122" s="27">
        <f>IF(B122="","",C122*D122-E122)</f>
        <v/>
      </c>
      <c r="G122" s="6">
        <f>IF(B122="","",IF(COUNTIF(盘中持仓!B:B,B122),VLOOKUP(B122,盘中持仓!B:D,3,0),0))</f>
        <v/>
      </c>
      <c r="H122" s="27">
        <f>IF(B122="","",IF(G122&lt;&gt;0,IF(G122&gt;0,"","交易超限"),"该股票未持仓，仅可买入"))</f>
        <v/>
      </c>
    </row>
    <row r="123">
      <c r="A123" s="6" t="n">
        <v>122</v>
      </c>
      <c r="B123" s="6" t="n"/>
      <c r="C123" s="27" t="n"/>
      <c r="D123" s="6" t="n"/>
      <c r="E123" s="27">
        <f>IF(B123="","",IF(D123&lt;=0,-C123*D123*2.5/10000,C123*D123*12.5/10000))</f>
        <v/>
      </c>
      <c r="F123" s="27">
        <f>IF(B123="","",C123*D123-E123)</f>
        <v/>
      </c>
      <c r="G123" s="6">
        <f>IF(B123="","",IF(COUNTIF(盘中持仓!B:B,B123),VLOOKUP(B123,盘中持仓!B:D,3,0),0))</f>
        <v/>
      </c>
      <c r="H123" s="27">
        <f>IF(B123="","",IF(G123&lt;&gt;0,IF(G123&gt;0,"","交易超限"),"该股票未持仓，仅可买入"))</f>
        <v/>
      </c>
    </row>
    <row r="124">
      <c r="A124" s="6" t="n">
        <v>123</v>
      </c>
      <c r="B124" s="6" t="n"/>
      <c r="C124" s="27" t="n"/>
      <c r="D124" s="6" t="n"/>
      <c r="E124" s="27">
        <f>IF(B124="","",IF(D124&lt;=0,-C124*D124*2.5/10000,C124*D124*12.5/10000))</f>
        <v/>
      </c>
      <c r="F124" s="27">
        <f>IF(B124="","",C124*D124-E124)</f>
        <v/>
      </c>
      <c r="G124" s="6">
        <f>IF(B124="","",IF(COUNTIF(盘中持仓!B:B,B124),VLOOKUP(B124,盘中持仓!B:D,3,0),0))</f>
        <v/>
      </c>
      <c r="H124" s="27">
        <f>IF(B124="","",IF(G124&lt;&gt;0,IF(G124&gt;0,"","交易超限"),"该股票未持仓，仅可买入"))</f>
        <v/>
      </c>
    </row>
    <row r="125">
      <c r="A125" s="6" t="n">
        <v>124</v>
      </c>
      <c r="B125" s="6" t="n"/>
      <c r="C125" s="27" t="n"/>
      <c r="D125" s="6" t="n"/>
      <c r="E125" s="27">
        <f>IF(B125="","",IF(D125&lt;=0,-C125*D125*2.5/10000,C125*D125*12.5/10000))</f>
        <v/>
      </c>
      <c r="F125" s="27">
        <f>IF(B125="","",C125*D125-E125)</f>
        <v/>
      </c>
      <c r="G125" s="6">
        <f>IF(B125="","",IF(COUNTIF(盘中持仓!B:B,B125),VLOOKUP(B125,盘中持仓!B:D,3,0),0))</f>
        <v/>
      </c>
      <c r="H125" s="27">
        <f>IF(B125="","",IF(G125&lt;&gt;0,IF(G125&gt;0,"","交易超限"),"该股票未持仓，仅可买入"))</f>
        <v/>
      </c>
    </row>
    <row r="126">
      <c r="A126" s="6" t="n">
        <v>125</v>
      </c>
      <c r="B126" s="6" t="n"/>
      <c r="C126" s="27" t="n"/>
      <c r="D126" s="6" t="n"/>
      <c r="E126" s="27">
        <f>IF(B126="","",IF(D126&lt;=0,-C126*D126*2.5/10000,C126*D126*12.5/10000))</f>
        <v/>
      </c>
      <c r="F126" s="27">
        <f>IF(B126="","",C126*D126-E126)</f>
        <v/>
      </c>
      <c r="G126" s="6">
        <f>IF(B126="","",IF(COUNTIF(盘中持仓!B:B,B126),VLOOKUP(B126,盘中持仓!B:D,3,0),0))</f>
        <v/>
      </c>
      <c r="H126" s="27">
        <f>IF(B126="","",IF(G126&lt;&gt;0,IF(G126&gt;0,"","交易超限"),"该股票未持仓，仅可买入"))</f>
        <v/>
      </c>
    </row>
    <row r="127">
      <c r="A127" s="6" t="n">
        <v>126</v>
      </c>
      <c r="B127" s="6" t="n"/>
      <c r="C127" s="27" t="n"/>
      <c r="D127" s="6" t="n"/>
      <c r="E127" s="27">
        <f>IF(B127="","",IF(D127&lt;=0,-C127*D127*2.5/10000,C127*D127*12.5/10000))</f>
        <v/>
      </c>
      <c r="F127" s="27">
        <f>IF(B127="","",C127*D127-E127)</f>
        <v/>
      </c>
      <c r="G127" s="6">
        <f>IF(B127="","",IF(COUNTIF(盘中持仓!B:B,B127),VLOOKUP(B127,盘中持仓!B:D,3,0),0))</f>
        <v/>
      </c>
      <c r="H127" s="27">
        <f>IF(B127="","",IF(G127&lt;&gt;0,IF(G127&gt;0,"","交易超限"),"该股票未持仓，仅可买入"))</f>
        <v/>
      </c>
    </row>
    <row r="128">
      <c r="A128" s="6" t="n">
        <v>127</v>
      </c>
      <c r="B128" s="6" t="n"/>
      <c r="C128" s="27" t="n"/>
      <c r="D128" s="6" t="n"/>
      <c r="E128" s="27">
        <f>IF(B128="","",IF(D128&lt;=0,-C128*D128*2.5/10000,C128*D128*12.5/10000))</f>
        <v/>
      </c>
      <c r="F128" s="27">
        <f>IF(B128="","",C128*D128-E128)</f>
        <v/>
      </c>
      <c r="G128" s="6">
        <f>IF(B128="","",IF(COUNTIF(盘中持仓!B:B,B128),VLOOKUP(B128,盘中持仓!B:D,3,0),0))</f>
        <v/>
      </c>
      <c r="H128" s="27">
        <f>IF(B128="","",IF(G128&lt;&gt;0,IF(G128&gt;0,"","交易超限"),"该股票未持仓，仅可买入"))</f>
        <v/>
      </c>
    </row>
    <row r="129">
      <c r="A129" s="6" t="n">
        <v>128</v>
      </c>
      <c r="B129" s="6" t="n"/>
      <c r="C129" s="27" t="n"/>
      <c r="D129" s="6" t="n"/>
      <c r="E129" s="27">
        <f>IF(B129="","",IF(D129&lt;=0,-C129*D129*2.5/10000,C129*D129*12.5/10000))</f>
        <v/>
      </c>
      <c r="F129" s="27">
        <f>IF(B129="","",C129*D129-E129)</f>
        <v/>
      </c>
      <c r="G129" s="6">
        <f>IF(B129="","",IF(COUNTIF(盘中持仓!B:B,B129),VLOOKUP(B129,盘中持仓!B:D,3,0),0))</f>
        <v/>
      </c>
      <c r="H129" s="27">
        <f>IF(B129="","",IF(G129&lt;&gt;0,IF(G129&gt;0,"","交易超限"),"该股票未持仓，仅可买入"))</f>
        <v/>
      </c>
    </row>
    <row r="130">
      <c r="A130" s="6" t="n">
        <v>129</v>
      </c>
      <c r="B130" s="6" t="n"/>
      <c r="C130" s="27" t="n"/>
      <c r="D130" s="6" t="n"/>
      <c r="E130" s="27">
        <f>IF(B130="","",IF(D130&lt;=0,-C130*D130*2.5/10000,C130*D130*12.5/10000))</f>
        <v/>
      </c>
      <c r="F130" s="27">
        <f>IF(B130="","",C130*D130-E130)</f>
        <v/>
      </c>
      <c r="G130" s="6">
        <f>IF(B130="","",IF(COUNTIF(盘中持仓!B:B,B130),VLOOKUP(B130,盘中持仓!B:D,3,0),0))</f>
        <v/>
      </c>
      <c r="H130" s="27">
        <f>IF(B130="","",IF(G130&lt;&gt;0,IF(G130&gt;0,"","交易超限"),"该股票未持仓，仅可买入"))</f>
        <v/>
      </c>
    </row>
    <row r="131">
      <c r="A131" s="6" t="n">
        <v>130</v>
      </c>
      <c r="B131" s="6" t="n"/>
      <c r="C131" s="27" t="n"/>
      <c r="D131" s="6" t="n"/>
      <c r="E131" s="27">
        <f>IF(B131="","",IF(D131&lt;=0,-C131*D131*2.5/10000,C131*D131*12.5/10000))</f>
        <v/>
      </c>
      <c r="F131" s="27">
        <f>IF(B131="","",C131*D131-E131)</f>
        <v/>
      </c>
      <c r="G131" s="6">
        <f>IF(B131="","",IF(COUNTIF(盘中持仓!B:B,B131),VLOOKUP(B131,盘中持仓!B:D,3,0),0))</f>
        <v/>
      </c>
      <c r="H131" s="27">
        <f>IF(B131="","",IF(G131&lt;&gt;0,IF(G131&gt;0,"","交易超限"),"该股票未持仓，仅可买入"))</f>
        <v/>
      </c>
    </row>
    <row r="132">
      <c r="A132" s="6" t="n">
        <v>131</v>
      </c>
      <c r="B132" s="6" t="n"/>
      <c r="C132" s="27" t="n"/>
      <c r="D132" s="6" t="n"/>
      <c r="E132" s="27">
        <f>IF(B132="","",IF(D132&lt;=0,-C132*D132*2.5/10000,C132*D132*12.5/10000))</f>
        <v/>
      </c>
      <c r="F132" s="27">
        <f>IF(B132="","",C132*D132-E132)</f>
        <v/>
      </c>
      <c r="G132" s="6">
        <f>IF(B132="","",IF(COUNTIF(盘中持仓!B:B,B132),VLOOKUP(B132,盘中持仓!B:D,3,0),0))</f>
        <v/>
      </c>
      <c r="H132" s="27">
        <f>IF(B132="","",IF(G132&lt;&gt;0,IF(G132&gt;0,"","交易超限"),"该股票未持仓，仅可买入"))</f>
        <v/>
      </c>
    </row>
    <row r="133">
      <c r="A133" s="6" t="n">
        <v>132</v>
      </c>
      <c r="B133" s="6" t="n"/>
      <c r="C133" s="27" t="n"/>
      <c r="D133" s="6" t="n"/>
      <c r="E133" s="27">
        <f>IF(B133="","",IF(D133&lt;=0,-C133*D133*2.5/10000,C133*D133*12.5/10000))</f>
        <v/>
      </c>
      <c r="F133" s="27">
        <f>IF(B133="","",C133*D133-E133)</f>
        <v/>
      </c>
      <c r="G133" s="6">
        <f>IF(B133="","",IF(COUNTIF(盘中持仓!B:B,B133),VLOOKUP(B133,盘中持仓!B:D,3,0),0))</f>
        <v/>
      </c>
      <c r="H133" s="27">
        <f>IF(B133="","",IF(G133&lt;&gt;0,IF(G133&gt;0,"","交易超限"),"该股票未持仓，仅可买入"))</f>
        <v/>
      </c>
    </row>
    <row r="134">
      <c r="A134" s="6" t="n">
        <v>133</v>
      </c>
      <c r="B134" s="6" t="n"/>
      <c r="C134" s="27" t="n"/>
      <c r="D134" s="6" t="n"/>
      <c r="E134" s="27">
        <f>IF(B134="","",IF(D134&lt;=0,-C134*D134*2.5/10000,C134*D134*12.5/10000))</f>
        <v/>
      </c>
      <c r="F134" s="27">
        <f>IF(B134="","",C134*D134-E134)</f>
        <v/>
      </c>
      <c r="G134" s="6">
        <f>IF(B134="","",IF(COUNTIF(盘中持仓!B:B,B134),VLOOKUP(B134,盘中持仓!B:D,3,0),0))</f>
        <v/>
      </c>
      <c r="H134" s="27">
        <f>IF(B134="","",IF(G134&lt;&gt;0,IF(G134&gt;0,"","交易超限"),"该股票未持仓，仅可买入"))</f>
        <v/>
      </c>
    </row>
    <row r="135">
      <c r="A135" s="6" t="n">
        <v>134</v>
      </c>
      <c r="B135" s="6" t="n"/>
      <c r="C135" s="27" t="n"/>
      <c r="D135" s="6" t="n"/>
      <c r="E135" s="27">
        <f>IF(B135="","",IF(D135&lt;=0,-C135*D135*2.5/10000,C135*D135*12.5/10000))</f>
        <v/>
      </c>
      <c r="F135" s="27">
        <f>IF(B135="","",C135*D135-E135)</f>
        <v/>
      </c>
      <c r="G135" s="6">
        <f>IF(B135="","",IF(COUNTIF(盘中持仓!B:B,B135),VLOOKUP(B135,盘中持仓!B:D,3,0),0))</f>
        <v/>
      </c>
      <c r="H135" s="27">
        <f>IF(B135="","",IF(G135&lt;&gt;0,IF(G135&gt;0,"","交易超限"),"该股票未持仓，仅可买入"))</f>
        <v/>
      </c>
    </row>
    <row r="136">
      <c r="A136" s="6" t="n">
        <v>135</v>
      </c>
      <c r="B136" s="6" t="n"/>
      <c r="C136" s="27" t="n"/>
      <c r="D136" s="6" t="n"/>
      <c r="E136" s="27">
        <f>IF(B136="","",IF(D136&lt;=0,-C136*D136*2.5/10000,C136*D136*12.5/10000))</f>
        <v/>
      </c>
      <c r="F136" s="27">
        <f>IF(B136="","",C136*D136-E136)</f>
        <v/>
      </c>
      <c r="G136" s="6">
        <f>IF(B136="","",IF(COUNTIF(盘中持仓!B:B,B136),VLOOKUP(B136,盘中持仓!B:D,3,0),0))</f>
        <v/>
      </c>
      <c r="H136" s="27">
        <f>IF(B136="","",IF(G136&lt;&gt;0,IF(G136&gt;0,"","交易超限"),"该股票未持仓，仅可买入"))</f>
        <v/>
      </c>
    </row>
    <row r="137">
      <c r="A137" s="6" t="n">
        <v>136</v>
      </c>
      <c r="B137" s="6" t="n"/>
      <c r="C137" s="27" t="n"/>
      <c r="D137" s="6" t="n"/>
      <c r="E137" s="27">
        <f>IF(B137="","",IF(D137&lt;=0,-C137*D137*2.5/10000,C137*D137*12.5/10000))</f>
        <v/>
      </c>
      <c r="F137" s="27">
        <f>IF(B137="","",C137*D137-E137)</f>
        <v/>
      </c>
      <c r="G137" s="6">
        <f>IF(B137="","",IF(COUNTIF(盘中持仓!B:B,B137),VLOOKUP(B137,盘中持仓!B:D,3,0),0))</f>
        <v/>
      </c>
      <c r="H137" s="27">
        <f>IF(B137="","",IF(G137&lt;&gt;0,IF(G137&gt;0,"","交易超限"),"该股票未持仓，仅可买入"))</f>
        <v/>
      </c>
    </row>
    <row r="138">
      <c r="A138" s="6" t="n">
        <v>137</v>
      </c>
      <c r="B138" s="6" t="n"/>
      <c r="C138" s="27" t="n"/>
      <c r="D138" s="6" t="n"/>
      <c r="E138" s="27">
        <f>IF(B138="","",IF(D138&lt;=0,-C138*D138*2.5/10000,C138*D138*12.5/10000))</f>
        <v/>
      </c>
      <c r="F138" s="27">
        <f>IF(B138="","",C138*D138-E138)</f>
        <v/>
      </c>
      <c r="G138" s="6">
        <f>IF(B138="","",IF(COUNTIF(盘中持仓!B:B,B138),VLOOKUP(B138,盘中持仓!B:D,3,0),0))</f>
        <v/>
      </c>
      <c r="H138" s="27">
        <f>IF(B138="","",IF(G138&lt;&gt;0,IF(G138&gt;0,"","交易超限"),"该股票未持仓，仅可买入"))</f>
        <v/>
      </c>
    </row>
    <row r="139">
      <c r="A139" s="6" t="n">
        <v>138</v>
      </c>
      <c r="B139" s="6" t="n"/>
      <c r="C139" s="27" t="n"/>
      <c r="D139" s="6" t="n"/>
      <c r="E139" s="27">
        <f>IF(B139="","",IF(D139&lt;=0,-C139*D139*2.5/10000,C139*D139*12.5/10000))</f>
        <v/>
      </c>
      <c r="F139" s="27">
        <f>IF(B139="","",C139*D139-E139)</f>
        <v/>
      </c>
      <c r="G139" s="6">
        <f>IF(B139="","",IF(COUNTIF(盘中持仓!B:B,B139),VLOOKUP(B139,盘中持仓!B:D,3,0),0))</f>
        <v/>
      </c>
      <c r="H139" s="27">
        <f>IF(B139="","",IF(G139&lt;&gt;0,IF(G139&gt;0,"","交易超限"),"该股票未持仓，仅可买入"))</f>
        <v/>
      </c>
    </row>
    <row r="140">
      <c r="A140" s="6" t="n">
        <v>139</v>
      </c>
      <c r="B140" s="6" t="n"/>
      <c r="C140" s="27" t="n"/>
      <c r="D140" s="6" t="n"/>
      <c r="E140" s="27">
        <f>IF(B140="","",IF(D140&lt;=0,-C140*D140*2.5/10000,C140*D140*12.5/10000))</f>
        <v/>
      </c>
      <c r="F140" s="27">
        <f>IF(B140="","",C140*D140-E140)</f>
        <v/>
      </c>
      <c r="G140" s="6">
        <f>IF(B140="","",IF(COUNTIF(盘中持仓!B:B,B140),VLOOKUP(B140,盘中持仓!B:D,3,0),0))</f>
        <v/>
      </c>
      <c r="H140" s="27">
        <f>IF(B140="","",IF(G140&lt;&gt;0,IF(G140&gt;0,"","交易超限"),"该股票未持仓，仅可买入"))</f>
        <v/>
      </c>
    </row>
    <row r="141">
      <c r="A141" s="6" t="n">
        <v>140</v>
      </c>
      <c r="B141" s="6" t="n"/>
      <c r="C141" s="27" t="n"/>
      <c r="D141" s="6" t="n"/>
      <c r="E141" s="27">
        <f>IF(B141="","",IF(D141&lt;=0,-C141*D141*2.5/10000,C141*D141*12.5/10000))</f>
        <v/>
      </c>
      <c r="F141" s="27">
        <f>IF(B141="","",C141*D141-E141)</f>
        <v/>
      </c>
      <c r="G141" s="6">
        <f>IF(B141="","",IF(COUNTIF(盘中持仓!B:B,B141),VLOOKUP(B141,盘中持仓!B:D,3,0),0))</f>
        <v/>
      </c>
      <c r="H141" s="27">
        <f>IF(B141="","",IF(G141&lt;&gt;0,IF(G141&gt;0,"","交易超限"),"该股票未持仓，仅可买入"))</f>
        <v/>
      </c>
    </row>
    <row r="142">
      <c r="A142" s="6" t="n">
        <v>141</v>
      </c>
      <c r="B142" s="6" t="n"/>
      <c r="C142" s="27" t="n"/>
      <c r="D142" s="6" t="n"/>
      <c r="E142" s="27">
        <f>IF(B142="","",IF(D142&lt;=0,-C142*D142*2.5/10000,C142*D142*12.5/10000))</f>
        <v/>
      </c>
      <c r="F142" s="27">
        <f>IF(B142="","",C142*D142-E142)</f>
        <v/>
      </c>
      <c r="G142" s="6">
        <f>IF(B142="","",IF(COUNTIF(盘中持仓!B:B,B142),VLOOKUP(B142,盘中持仓!B:D,3,0),0))</f>
        <v/>
      </c>
      <c r="H142" s="27">
        <f>IF(B142="","",IF(G142&lt;&gt;0,IF(G142&gt;0,"","交易超限"),"该股票未持仓，仅可买入"))</f>
        <v/>
      </c>
    </row>
    <row r="143">
      <c r="A143" s="6" t="n">
        <v>142</v>
      </c>
      <c r="B143" s="6" t="n"/>
      <c r="C143" s="27" t="n"/>
      <c r="D143" s="6" t="n"/>
      <c r="E143" s="27">
        <f>IF(B143="","",IF(D143&lt;=0,-C143*D143*2.5/10000,C143*D143*12.5/10000))</f>
        <v/>
      </c>
      <c r="F143" s="27">
        <f>IF(B143="","",C143*D143-E143)</f>
        <v/>
      </c>
      <c r="G143" s="6">
        <f>IF(B143="","",IF(COUNTIF(盘中持仓!B:B,B143),VLOOKUP(B143,盘中持仓!B:D,3,0),0))</f>
        <v/>
      </c>
      <c r="H143" s="27">
        <f>IF(B143="","",IF(G143&lt;&gt;0,IF(G143&gt;0,"","交易超限"),"该股票未持仓，仅可买入"))</f>
        <v/>
      </c>
    </row>
    <row r="144">
      <c r="A144" s="6" t="n">
        <v>143</v>
      </c>
      <c r="B144" s="6" t="n"/>
      <c r="C144" s="27" t="n"/>
      <c r="D144" s="6" t="n"/>
      <c r="E144" s="27">
        <f>IF(B144="","",IF(D144&lt;=0,-C144*D144*2.5/10000,C144*D144*12.5/10000))</f>
        <v/>
      </c>
      <c r="F144" s="27">
        <f>IF(B144="","",C144*D144-E144)</f>
        <v/>
      </c>
      <c r="G144" s="6">
        <f>IF(B144="","",IF(COUNTIF(盘中持仓!B:B,B144),VLOOKUP(B144,盘中持仓!B:D,3,0),0))</f>
        <v/>
      </c>
      <c r="H144" s="27">
        <f>IF(B144="","",IF(G144&lt;&gt;0,IF(G144&gt;0,"","交易超限"),"该股票未持仓，仅可买入"))</f>
        <v/>
      </c>
    </row>
    <row r="145">
      <c r="A145" s="6" t="n">
        <v>144</v>
      </c>
      <c r="B145" s="6" t="n"/>
      <c r="C145" s="27" t="n"/>
      <c r="D145" s="6" t="n"/>
      <c r="E145" s="27">
        <f>IF(B145="","",IF(D145&lt;=0,-C145*D145*2.5/10000,C145*D145*12.5/10000))</f>
        <v/>
      </c>
      <c r="F145" s="27">
        <f>IF(B145="","",C145*D145-E145)</f>
        <v/>
      </c>
      <c r="G145" s="6">
        <f>IF(B145="","",IF(COUNTIF(盘中持仓!B:B,B145),VLOOKUP(B145,盘中持仓!B:D,3,0),0))</f>
        <v/>
      </c>
      <c r="H145" s="27">
        <f>IF(B145="","",IF(G145&lt;&gt;0,IF(G145&gt;0,"","交易超限"),"该股票未持仓，仅可买入"))</f>
        <v/>
      </c>
    </row>
    <row r="146">
      <c r="A146" s="6" t="n">
        <v>145</v>
      </c>
      <c r="B146" s="6" t="n"/>
      <c r="C146" s="27" t="n"/>
      <c r="D146" s="6" t="n"/>
      <c r="E146" s="27">
        <f>IF(B146="","",IF(D146&lt;=0,-C146*D146*2.5/10000,C146*D146*12.5/10000))</f>
        <v/>
      </c>
      <c r="F146" s="27">
        <f>IF(B146="","",C146*D146-E146)</f>
        <v/>
      </c>
      <c r="G146" s="6">
        <f>IF(B146="","",IF(COUNTIF(盘中持仓!B:B,B146),VLOOKUP(B146,盘中持仓!B:D,3,0),0))</f>
        <v/>
      </c>
      <c r="H146" s="27">
        <f>IF(B146="","",IF(G146&lt;&gt;0,IF(G146&gt;0,"","交易超限"),"该股票未持仓，仅可买入"))</f>
        <v/>
      </c>
    </row>
    <row r="147">
      <c r="A147" s="6" t="n">
        <v>146</v>
      </c>
      <c r="B147" s="6" t="n"/>
      <c r="C147" s="27" t="n"/>
      <c r="D147" s="6" t="n"/>
      <c r="E147" s="27">
        <f>IF(B147="","",IF(D147&lt;=0,-C147*D147*2.5/10000,C147*D147*12.5/10000))</f>
        <v/>
      </c>
      <c r="F147" s="27">
        <f>IF(B147="","",C147*D147-E147)</f>
        <v/>
      </c>
      <c r="G147" s="6">
        <f>IF(B147="","",IF(COUNTIF(盘中持仓!B:B,B147),VLOOKUP(B147,盘中持仓!B:D,3,0),0))</f>
        <v/>
      </c>
      <c r="H147" s="27">
        <f>IF(B147="","",IF(G147&lt;&gt;0,IF(G147&gt;0,"","交易超限"),"该股票未持仓，仅可买入"))</f>
        <v/>
      </c>
    </row>
    <row r="148">
      <c r="A148" s="6" t="n">
        <v>147</v>
      </c>
      <c r="B148" s="6" t="n"/>
      <c r="C148" s="27" t="n"/>
      <c r="D148" s="6" t="n"/>
      <c r="E148" s="27">
        <f>IF(B148="","",IF(D148&lt;=0,-C148*D148*2.5/10000,C148*D148*12.5/10000))</f>
        <v/>
      </c>
      <c r="F148" s="27">
        <f>IF(B148="","",C148*D148-E148)</f>
        <v/>
      </c>
      <c r="G148" s="6">
        <f>IF(B148="","",IF(COUNTIF(盘中持仓!B:B,B148),VLOOKUP(B148,盘中持仓!B:D,3,0),0))</f>
        <v/>
      </c>
      <c r="H148" s="27">
        <f>IF(B148="","",IF(G148&lt;&gt;0,IF(G148&gt;0,"","交易超限"),"该股票未持仓，仅可买入"))</f>
        <v/>
      </c>
    </row>
    <row r="149">
      <c r="A149" s="6" t="n">
        <v>148</v>
      </c>
      <c r="B149" s="6" t="n"/>
      <c r="C149" s="27" t="n"/>
      <c r="D149" s="6" t="n"/>
      <c r="E149" s="27">
        <f>IF(B149="","",IF(D149&lt;=0,-C149*D149*2.5/10000,C149*D149*12.5/10000))</f>
        <v/>
      </c>
      <c r="F149" s="27">
        <f>IF(B149="","",C149*D149-E149)</f>
        <v/>
      </c>
      <c r="G149" s="6">
        <f>IF(B149="","",IF(COUNTIF(盘中持仓!B:B,B149),VLOOKUP(B149,盘中持仓!B:D,3,0),0))</f>
        <v/>
      </c>
      <c r="H149" s="27">
        <f>IF(B149="","",IF(G149&lt;&gt;0,IF(G149&gt;0,"","交易超限"),"该股票未持仓，仅可买入"))</f>
        <v/>
      </c>
    </row>
    <row r="150">
      <c r="A150" s="6" t="n">
        <v>149</v>
      </c>
      <c r="B150" s="6" t="n"/>
      <c r="C150" s="27" t="n"/>
      <c r="D150" s="6" t="n"/>
      <c r="E150" s="27">
        <f>IF(B150="","",IF(D150&lt;=0,-C150*D150*2.5/10000,C150*D150*12.5/10000))</f>
        <v/>
      </c>
      <c r="F150" s="27">
        <f>IF(B150="","",C150*D150-E150)</f>
        <v/>
      </c>
      <c r="G150" s="6">
        <f>IF(B150="","",IF(COUNTIF(盘中持仓!B:B,B150),VLOOKUP(B150,盘中持仓!B:D,3,0),0))</f>
        <v/>
      </c>
      <c r="H150" s="27">
        <f>IF(B150="","",IF(G150&lt;&gt;0,IF(G150&gt;0,"","交易超限"),"该股票未持仓，仅可买入"))</f>
        <v/>
      </c>
    </row>
    <row r="151">
      <c r="A151" s="6" t="n">
        <v>150</v>
      </c>
      <c r="B151" s="6" t="n"/>
      <c r="C151" s="27" t="n"/>
      <c r="D151" s="6" t="n"/>
      <c r="E151" s="27">
        <f>IF(B151="","",IF(D151&lt;=0,-C151*D151*2.5/10000,C151*D151*12.5/10000))</f>
        <v/>
      </c>
      <c r="F151" s="27">
        <f>IF(B151="","",C151*D151-E151)</f>
        <v/>
      </c>
      <c r="G151" s="6">
        <f>IF(B151="","",IF(COUNTIF(盘中持仓!B:B,B151),VLOOKUP(B151,盘中持仓!B:D,3,0),0))</f>
        <v/>
      </c>
      <c r="H151" s="27">
        <f>IF(B151="","",IF(G151&lt;&gt;0,IF(G151&gt;0,"","交易超限"),"该股票未持仓，仅可买入"))</f>
        <v/>
      </c>
    </row>
    <row r="152">
      <c r="A152" s="6" t="n">
        <v>151</v>
      </c>
      <c r="B152" s="6" t="n"/>
      <c r="C152" s="27" t="n"/>
      <c r="D152" s="6" t="n"/>
      <c r="E152" s="27">
        <f>IF(B152="","",IF(D152&lt;=0,-C152*D152*2.5/10000,C152*D152*12.5/10000))</f>
        <v/>
      </c>
      <c r="F152" s="27">
        <f>IF(B152="","",C152*D152-E152)</f>
        <v/>
      </c>
      <c r="G152" s="6">
        <f>IF(B152="","",IF(COUNTIF(盘中持仓!B:B,B152),VLOOKUP(B152,盘中持仓!B:D,3,0),0))</f>
        <v/>
      </c>
      <c r="H152" s="27">
        <f>IF(B152="","",IF(G152&lt;&gt;0,IF(G152&gt;0,"","交易超限"),"该股票未持仓，仅可买入"))</f>
        <v/>
      </c>
    </row>
    <row r="153">
      <c r="A153" s="6" t="n">
        <v>152</v>
      </c>
      <c r="B153" s="6" t="n"/>
      <c r="C153" s="27" t="n"/>
      <c r="D153" s="6" t="n"/>
      <c r="E153" s="27">
        <f>IF(B153="","",IF(D153&lt;=0,-C153*D153*2.5/10000,C153*D153*12.5/10000))</f>
        <v/>
      </c>
      <c r="F153" s="27">
        <f>IF(B153="","",C153*D153-E153)</f>
        <v/>
      </c>
      <c r="G153" s="6">
        <f>IF(B153="","",IF(COUNTIF(盘中持仓!B:B,B153),VLOOKUP(B153,盘中持仓!B:D,3,0),0))</f>
        <v/>
      </c>
      <c r="H153" s="27">
        <f>IF(B153="","",IF(G153&lt;&gt;0,IF(G153&gt;0,"","交易超限"),"该股票未持仓，仅可买入"))</f>
        <v/>
      </c>
    </row>
    <row r="154">
      <c r="A154" s="6" t="n">
        <v>153</v>
      </c>
      <c r="B154" s="6" t="n"/>
      <c r="C154" s="27" t="n"/>
      <c r="D154" s="6" t="n"/>
      <c r="E154" s="27">
        <f>IF(B154="","",IF(D154&lt;=0,-C154*D154*2.5/10000,C154*D154*12.5/10000))</f>
        <v/>
      </c>
      <c r="F154" s="27">
        <f>IF(B154="","",C154*D154-E154)</f>
        <v/>
      </c>
      <c r="G154" s="6">
        <f>IF(B154="","",IF(COUNTIF(盘中持仓!B:B,B154),VLOOKUP(B154,盘中持仓!B:D,3,0),0))</f>
        <v/>
      </c>
      <c r="H154" s="27">
        <f>IF(B154="","",IF(G154&lt;&gt;0,IF(G154&gt;0,"","交易超限"),"该股票未持仓，仅可买入"))</f>
        <v/>
      </c>
    </row>
    <row r="155">
      <c r="A155" s="6" t="n">
        <v>154</v>
      </c>
      <c r="B155" s="6" t="n"/>
      <c r="C155" s="27" t="n"/>
      <c r="D155" s="6" t="n"/>
      <c r="E155" s="27">
        <f>IF(B155="","",IF(D155&lt;=0,-C155*D155*2.5/10000,C155*D155*12.5/10000))</f>
        <v/>
      </c>
      <c r="F155" s="27">
        <f>IF(B155="","",C155*D155-E155)</f>
        <v/>
      </c>
      <c r="G155" s="6">
        <f>IF(B155="","",IF(COUNTIF(盘中持仓!B:B,B155),VLOOKUP(B155,盘中持仓!B:D,3,0),0))</f>
        <v/>
      </c>
      <c r="H155" s="27">
        <f>IF(B155="","",IF(G155&lt;&gt;0,IF(G155&gt;0,"","交易超限"),"该股票未持仓，仅可买入"))</f>
        <v/>
      </c>
    </row>
    <row r="156">
      <c r="A156" s="6" t="n">
        <v>155</v>
      </c>
      <c r="B156" s="6" t="n"/>
      <c r="C156" s="27" t="n"/>
      <c r="D156" s="6" t="n"/>
      <c r="E156" s="27">
        <f>IF(B156="","",IF(D156&lt;=0,-C156*D156*2.5/10000,C156*D156*12.5/10000))</f>
        <v/>
      </c>
      <c r="F156" s="27">
        <f>IF(B156="","",C156*D156-E156)</f>
        <v/>
      </c>
      <c r="G156" s="6">
        <f>IF(B156="","",IF(COUNTIF(盘中持仓!B:B,B156),VLOOKUP(B156,盘中持仓!B:D,3,0),0))</f>
        <v/>
      </c>
      <c r="H156" s="27">
        <f>IF(B156="","",IF(G156&lt;&gt;0,IF(G156&gt;0,"","交易超限"),"该股票未持仓，仅可买入"))</f>
        <v/>
      </c>
    </row>
    <row r="157">
      <c r="A157" s="6" t="n">
        <v>156</v>
      </c>
      <c r="B157" s="6" t="n"/>
      <c r="C157" s="27" t="n"/>
      <c r="D157" s="6" t="n"/>
      <c r="E157" s="27">
        <f>IF(B157="","",IF(D157&lt;=0,-C157*D157*2.5/10000,C157*D157*12.5/10000))</f>
        <v/>
      </c>
      <c r="F157" s="27">
        <f>IF(B157="","",C157*D157-E157)</f>
        <v/>
      </c>
      <c r="G157" s="6">
        <f>IF(B157="","",IF(COUNTIF(盘中持仓!B:B,B157),VLOOKUP(B157,盘中持仓!B:D,3,0),0))</f>
        <v/>
      </c>
      <c r="H157" s="27">
        <f>IF(B157="","",IF(G157&lt;&gt;0,IF(G157&gt;0,"","交易超限"),"该股票未持仓，仅可买入"))</f>
        <v/>
      </c>
    </row>
    <row r="158">
      <c r="A158" s="6" t="n">
        <v>157</v>
      </c>
      <c r="B158" s="6" t="n"/>
      <c r="C158" s="27" t="n"/>
      <c r="D158" s="6" t="n"/>
      <c r="E158" s="27">
        <f>IF(B158="","",IF(D158&lt;=0,-C158*D158*2.5/10000,C158*D158*12.5/10000))</f>
        <v/>
      </c>
      <c r="F158" s="27">
        <f>IF(B158="","",C158*D158-E158)</f>
        <v/>
      </c>
      <c r="G158" s="6">
        <f>IF(B158="","",IF(COUNTIF(盘中持仓!B:B,B158),VLOOKUP(B158,盘中持仓!B:D,3,0),0))</f>
        <v/>
      </c>
      <c r="H158" s="27">
        <f>IF(B158="","",IF(G158&lt;&gt;0,IF(G158&gt;0,"","交易超限"),"该股票未持仓，仅可买入"))</f>
        <v/>
      </c>
    </row>
    <row r="159">
      <c r="A159" s="6" t="n">
        <v>158</v>
      </c>
      <c r="B159" s="6" t="n"/>
      <c r="C159" s="27" t="n"/>
      <c r="D159" s="6" t="n"/>
      <c r="E159" s="27">
        <f>IF(B159="","",IF(D159&lt;=0,-C159*D159*2.5/10000,C159*D159*12.5/10000))</f>
        <v/>
      </c>
      <c r="F159" s="27">
        <f>IF(B159="","",C159*D159-E159)</f>
        <v/>
      </c>
      <c r="G159" s="6">
        <f>IF(B159="","",IF(COUNTIF(盘中持仓!B:B,B159),VLOOKUP(B159,盘中持仓!B:D,3,0),0))</f>
        <v/>
      </c>
      <c r="H159" s="27">
        <f>IF(B159="","",IF(G159&lt;&gt;0,IF(G159&gt;0,"","交易超限"),"该股票未持仓，仅可买入"))</f>
        <v/>
      </c>
    </row>
    <row r="160">
      <c r="A160" s="6" t="n">
        <v>159</v>
      </c>
      <c r="B160" s="6" t="n"/>
      <c r="C160" s="27" t="n"/>
      <c r="D160" s="6" t="n"/>
      <c r="E160" s="27">
        <f>IF(B160="","",IF(D160&lt;=0,-C160*D160*2.5/10000,C160*D160*12.5/10000))</f>
        <v/>
      </c>
      <c r="F160" s="27">
        <f>IF(B160="","",C160*D160-E160)</f>
        <v/>
      </c>
      <c r="G160" s="6">
        <f>IF(B160="","",IF(COUNTIF(盘中持仓!B:B,B160),VLOOKUP(B160,盘中持仓!B:D,3,0),0))</f>
        <v/>
      </c>
      <c r="H160" s="27">
        <f>IF(B160="","",IF(G160&lt;&gt;0,IF(G160&gt;0,"","交易超限"),"该股票未持仓，仅可买入"))</f>
        <v/>
      </c>
    </row>
    <row r="161">
      <c r="A161" s="6" t="n">
        <v>160</v>
      </c>
      <c r="B161" s="6" t="n"/>
      <c r="C161" s="27" t="n"/>
      <c r="D161" s="6" t="n"/>
      <c r="E161" s="27">
        <f>IF(B161="","",IF(D161&lt;=0,-C161*D161*2.5/10000,C161*D161*12.5/10000))</f>
        <v/>
      </c>
      <c r="F161" s="27">
        <f>IF(B161="","",C161*D161-E161)</f>
        <v/>
      </c>
      <c r="G161" s="6">
        <f>IF(B161="","",IF(COUNTIF(盘中持仓!B:B,B161),VLOOKUP(B161,盘中持仓!B:D,3,0),0))</f>
        <v/>
      </c>
      <c r="H161" s="27">
        <f>IF(B161="","",IF(G161&lt;&gt;0,IF(G161&gt;0,"","交易超限"),"该股票未持仓，仅可买入"))</f>
        <v/>
      </c>
    </row>
    <row r="162">
      <c r="A162" s="6" t="n">
        <v>161</v>
      </c>
      <c r="B162" s="6" t="n"/>
      <c r="C162" s="27" t="n"/>
      <c r="D162" s="6" t="n"/>
      <c r="E162" s="27">
        <f>IF(B162="","",IF(D162&lt;=0,-C162*D162*2.5/10000,C162*D162*12.5/10000))</f>
        <v/>
      </c>
      <c r="F162" s="27">
        <f>IF(B162="","",C162*D162-E162)</f>
        <v/>
      </c>
      <c r="G162" s="6">
        <f>IF(B162="","",IF(COUNTIF(盘中持仓!B:B,B162),VLOOKUP(B162,盘中持仓!B:D,3,0),0))</f>
        <v/>
      </c>
      <c r="H162" s="27">
        <f>IF(B162="","",IF(G162&lt;&gt;0,IF(G162&gt;0,"","交易超限"),"该股票未持仓，仅可买入"))</f>
        <v/>
      </c>
    </row>
    <row r="163">
      <c r="A163" s="6" t="n">
        <v>162</v>
      </c>
      <c r="B163" s="6" t="n"/>
      <c r="C163" s="27" t="n"/>
      <c r="D163" s="6" t="n"/>
      <c r="E163" s="27">
        <f>IF(B163="","",IF(D163&lt;=0,-C163*D163*2.5/10000,C163*D163*12.5/10000))</f>
        <v/>
      </c>
      <c r="F163" s="27">
        <f>IF(B163="","",C163*D163-E163)</f>
        <v/>
      </c>
      <c r="G163" s="6">
        <f>IF(B163="","",IF(COUNTIF(盘中持仓!B:B,B163),VLOOKUP(B163,盘中持仓!B:D,3,0),0))</f>
        <v/>
      </c>
      <c r="H163" s="27">
        <f>IF(B163="","",IF(G163&lt;&gt;0,IF(G163&gt;0,"","交易超限"),"该股票未持仓，仅可买入"))</f>
        <v/>
      </c>
    </row>
    <row r="164">
      <c r="A164" s="6" t="n">
        <v>163</v>
      </c>
      <c r="B164" s="6" t="n"/>
      <c r="C164" s="27" t="n"/>
      <c r="D164" s="6" t="n"/>
      <c r="E164" s="27">
        <f>IF(B164="","",IF(D164&lt;=0,-C164*D164*2.5/10000,C164*D164*12.5/10000))</f>
        <v/>
      </c>
      <c r="F164" s="27">
        <f>IF(B164="","",C164*D164-E164)</f>
        <v/>
      </c>
      <c r="G164" s="6">
        <f>IF(B164="","",IF(COUNTIF(盘中持仓!B:B,B164),VLOOKUP(B164,盘中持仓!B:D,3,0),0))</f>
        <v/>
      </c>
      <c r="H164" s="27">
        <f>IF(B164="","",IF(G164&lt;&gt;0,IF(G164&gt;0,"","交易超限"),"该股票未持仓，仅可买入"))</f>
        <v/>
      </c>
    </row>
    <row r="165">
      <c r="A165" s="6" t="n">
        <v>164</v>
      </c>
      <c r="B165" s="6" t="n"/>
      <c r="C165" s="27" t="n"/>
      <c r="D165" s="6" t="n"/>
      <c r="E165" s="27">
        <f>IF(B165="","",IF(D165&lt;=0,-C165*D165*2.5/10000,C165*D165*12.5/10000))</f>
        <v/>
      </c>
      <c r="F165" s="27">
        <f>IF(B165="","",C165*D165-E165)</f>
        <v/>
      </c>
      <c r="G165" s="6">
        <f>IF(B165="","",IF(COUNTIF(盘中持仓!B:B,B165),VLOOKUP(B165,盘中持仓!B:D,3,0),0))</f>
        <v/>
      </c>
      <c r="H165" s="27">
        <f>IF(B165="","",IF(G165&lt;&gt;0,IF(G165&gt;0,"","交易超限"),"该股票未持仓，仅可买入"))</f>
        <v/>
      </c>
    </row>
    <row r="166">
      <c r="A166" s="6" t="n">
        <v>165</v>
      </c>
      <c r="B166" s="6" t="n"/>
      <c r="C166" s="27" t="n"/>
      <c r="D166" s="6" t="n"/>
      <c r="E166" s="27">
        <f>IF(B166="","",IF(D166&lt;=0,-C166*D166*2.5/10000,C166*D166*12.5/10000))</f>
        <v/>
      </c>
      <c r="F166" s="27">
        <f>IF(B166="","",C166*D166-E166)</f>
        <v/>
      </c>
      <c r="G166" s="6">
        <f>IF(B166="","",IF(COUNTIF(盘中持仓!B:B,B166),VLOOKUP(B166,盘中持仓!B:D,3,0),0))</f>
        <v/>
      </c>
      <c r="H166" s="27">
        <f>IF(B166="","",IF(G166&lt;&gt;0,IF(G166&gt;0,"","交易超限"),"该股票未持仓，仅可买入"))</f>
        <v/>
      </c>
    </row>
    <row r="167">
      <c r="A167" s="6" t="n">
        <v>166</v>
      </c>
      <c r="B167" s="6" t="n"/>
      <c r="C167" s="27" t="n"/>
      <c r="D167" s="6" t="n"/>
      <c r="E167" s="27">
        <f>IF(B167="","",IF(D167&lt;=0,-C167*D167*2.5/10000,C167*D167*12.5/10000))</f>
        <v/>
      </c>
      <c r="F167" s="27">
        <f>IF(B167="","",C167*D167-E167)</f>
        <v/>
      </c>
      <c r="G167" s="6">
        <f>IF(B167="","",IF(COUNTIF(盘中持仓!B:B,B167),VLOOKUP(B167,盘中持仓!B:D,3,0),0))</f>
        <v/>
      </c>
      <c r="H167" s="27">
        <f>IF(B167="","",IF(G167&lt;&gt;0,IF(G167&gt;0,"","交易超限"),"该股票未持仓，仅可买入"))</f>
        <v/>
      </c>
    </row>
    <row r="168">
      <c r="A168" s="6" t="n">
        <v>167</v>
      </c>
      <c r="B168" s="6" t="n"/>
      <c r="C168" s="27" t="n"/>
      <c r="D168" s="6" t="n"/>
      <c r="E168" s="27">
        <f>IF(B168="","",IF(D168&lt;=0,-C168*D168*2.5/10000,C168*D168*12.5/10000))</f>
        <v/>
      </c>
      <c r="F168" s="27">
        <f>IF(B168="","",C168*D168-E168)</f>
        <v/>
      </c>
      <c r="G168" s="6">
        <f>IF(B168="","",IF(COUNTIF(盘中持仓!B:B,B168),VLOOKUP(B168,盘中持仓!B:D,3,0),0))</f>
        <v/>
      </c>
      <c r="H168" s="27">
        <f>IF(B168="","",IF(G168&lt;&gt;0,IF(G168&gt;0,"","交易超限"),"该股票未持仓，仅可买入"))</f>
        <v/>
      </c>
    </row>
    <row r="169">
      <c r="A169" s="6" t="n">
        <v>168</v>
      </c>
      <c r="B169" s="6" t="n"/>
      <c r="C169" s="27" t="n"/>
      <c r="D169" s="6" t="n"/>
      <c r="E169" s="27">
        <f>IF(B169="","",IF(D169&lt;=0,-C169*D169*2.5/10000,C169*D169*12.5/10000))</f>
        <v/>
      </c>
      <c r="F169" s="27">
        <f>IF(B169="","",C169*D169-E169)</f>
        <v/>
      </c>
      <c r="G169" s="6">
        <f>IF(B169="","",IF(COUNTIF(盘中持仓!B:B,B169),VLOOKUP(B169,盘中持仓!B:D,3,0),0))</f>
        <v/>
      </c>
      <c r="H169" s="27">
        <f>IF(B169="","",IF(G169&lt;&gt;0,IF(G169&gt;0,"","交易超限"),"该股票未持仓，仅可买入"))</f>
        <v/>
      </c>
    </row>
    <row r="170">
      <c r="A170" s="6" t="n">
        <v>169</v>
      </c>
      <c r="B170" s="6" t="n"/>
      <c r="C170" s="27" t="n"/>
      <c r="D170" s="6" t="n"/>
      <c r="E170" s="27">
        <f>IF(B170="","",IF(D170&lt;=0,-C170*D170*2.5/10000,C170*D170*12.5/10000))</f>
        <v/>
      </c>
      <c r="F170" s="27">
        <f>IF(B170="","",C170*D170-E170)</f>
        <v/>
      </c>
      <c r="G170" s="6">
        <f>IF(B170="","",IF(COUNTIF(盘中持仓!B:B,B170),VLOOKUP(B170,盘中持仓!B:D,3,0),0))</f>
        <v/>
      </c>
      <c r="H170" s="27">
        <f>IF(B170="","",IF(G170&lt;&gt;0,IF(G170&gt;0,"","交易超限"),"该股票未持仓，仅可买入"))</f>
        <v/>
      </c>
    </row>
    <row r="171">
      <c r="A171" s="6" t="n">
        <v>170</v>
      </c>
      <c r="B171" s="6" t="n"/>
      <c r="C171" s="27" t="n"/>
      <c r="D171" s="6" t="n"/>
      <c r="E171" s="27">
        <f>IF(B171="","",IF(D171&lt;=0,-C171*D171*2.5/10000,C171*D171*12.5/10000))</f>
        <v/>
      </c>
      <c r="F171" s="27">
        <f>IF(B171="","",C171*D171-E171)</f>
        <v/>
      </c>
      <c r="G171" s="6">
        <f>IF(B171="","",IF(COUNTIF(盘中持仓!B:B,B171),VLOOKUP(B171,盘中持仓!B:D,3,0),0))</f>
        <v/>
      </c>
      <c r="H171" s="27">
        <f>IF(B171="","",IF(G171&lt;&gt;0,IF(G171&gt;0,"","交易超限"),"该股票未持仓，仅可买入"))</f>
        <v/>
      </c>
    </row>
    <row r="172">
      <c r="A172" s="6" t="n">
        <v>171</v>
      </c>
      <c r="B172" s="6" t="n"/>
      <c r="C172" s="27" t="n"/>
      <c r="D172" s="6" t="n"/>
      <c r="E172" s="27">
        <f>IF(B172="","",IF(D172&lt;=0,-C172*D172*2.5/10000,C172*D172*12.5/10000))</f>
        <v/>
      </c>
      <c r="F172" s="27">
        <f>IF(B172="","",C172*D172-E172)</f>
        <v/>
      </c>
      <c r="G172" s="6">
        <f>IF(B172="","",IF(COUNTIF(盘中持仓!B:B,B172),VLOOKUP(B172,盘中持仓!B:D,3,0),0))</f>
        <v/>
      </c>
      <c r="H172" s="27">
        <f>IF(B172="","",IF(G172&lt;&gt;0,IF(G172&gt;0,"","交易超限"),"该股票未持仓，仅可买入"))</f>
        <v/>
      </c>
    </row>
    <row r="173">
      <c r="A173" s="6" t="n">
        <v>172</v>
      </c>
      <c r="B173" s="6" t="n"/>
      <c r="C173" s="27" t="n"/>
      <c r="D173" s="6" t="n"/>
      <c r="E173" s="27">
        <f>IF(B173="","",IF(D173&lt;=0,-C173*D173*2.5/10000,C173*D173*12.5/10000))</f>
        <v/>
      </c>
      <c r="F173" s="27">
        <f>IF(B173="","",C173*D173-E173)</f>
        <v/>
      </c>
      <c r="G173" s="6">
        <f>IF(B173="","",IF(COUNTIF(盘中持仓!B:B,B173),VLOOKUP(B173,盘中持仓!B:D,3,0),0))</f>
        <v/>
      </c>
      <c r="H173" s="27">
        <f>IF(B173="","",IF(G173&lt;&gt;0,IF(G173&gt;0,"","交易超限"),"该股票未持仓，仅可买入"))</f>
        <v/>
      </c>
    </row>
    <row r="174">
      <c r="A174" s="6" t="n">
        <v>173</v>
      </c>
      <c r="B174" s="6" t="n"/>
      <c r="C174" s="27" t="n"/>
      <c r="D174" s="6" t="n"/>
      <c r="E174" s="27">
        <f>IF(B174="","",IF(D174&lt;=0,-C174*D174*2.5/10000,C174*D174*12.5/10000))</f>
        <v/>
      </c>
      <c r="F174" s="27">
        <f>IF(B174="","",C174*D174-E174)</f>
        <v/>
      </c>
      <c r="G174" s="6">
        <f>IF(B174="","",IF(COUNTIF(盘中持仓!B:B,B174),VLOOKUP(B174,盘中持仓!B:D,3,0),0))</f>
        <v/>
      </c>
      <c r="H174" s="27">
        <f>IF(B174="","",IF(G174&lt;&gt;0,IF(G174&gt;0,"","交易超限"),"该股票未持仓，仅可买入"))</f>
        <v/>
      </c>
    </row>
    <row r="175">
      <c r="A175" s="6" t="n">
        <v>174</v>
      </c>
      <c r="B175" s="6" t="n"/>
      <c r="C175" s="27" t="n"/>
      <c r="D175" s="6" t="n"/>
      <c r="E175" s="27">
        <f>IF(B175="","",IF(D175&lt;=0,-C175*D175*2.5/10000,C175*D175*12.5/10000))</f>
        <v/>
      </c>
      <c r="F175" s="27">
        <f>IF(B175="","",C175*D175-E175)</f>
        <v/>
      </c>
      <c r="G175" s="6">
        <f>IF(B175="","",IF(COUNTIF(盘中持仓!B:B,B175),VLOOKUP(B175,盘中持仓!B:D,3,0),0))</f>
        <v/>
      </c>
      <c r="H175" s="27">
        <f>IF(B175="","",IF(G175&lt;&gt;0,IF(G175&gt;0,"","交易超限"),"该股票未持仓，仅可买入"))</f>
        <v/>
      </c>
    </row>
    <row r="176">
      <c r="A176" s="6" t="n">
        <v>175</v>
      </c>
      <c r="B176" s="6" t="n"/>
      <c r="C176" s="27" t="n"/>
      <c r="D176" s="6" t="n"/>
      <c r="E176" s="27">
        <f>IF(B176="","",IF(D176&lt;=0,-C176*D176*2.5/10000,C176*D176*12.5/10000))</f>
        <v/>
      </c>
      <c r="F176" s="27">
        <f>IF(B176="","",C176*D176-E176)</f>
        <v/>
      </c>
      <c r="G176" s="6">
        <f>IF(B176="","",IF(COUNTIF(盘中持仓!B:B,B176),VLOOKUP(B176,盘中持仓!B:D,3,0),0))</f>
        <v/>
      </c>
      <c r="H176" s="27">
        <f>IF(B176="","",IF(G176&lt;&gt;0,IF(G176&gt;0,"","交易超限"),"该股票未持仓，仅可买入"))</f>
        <v/>
      </c>
    </row>
    <row r="177">
      <c r="A177" s="6" t="n">
        <v>176</v>
      </c>
      <c r="B177" s="6" t="n"/>
      <c r="C177" s="27" t="n"/>
      <c r="D177" s="6" t="n"/>
      <c r="E177" s="27">
        <f>IF(B177="","",IF(D177&lt;=0,-C177*D177*2.5/10000,C177*D177*12.5/10000))</f>
        <v/>
      </c>
      <c r="F177" s="27">
        <f>IF(B177="","",C177*D177-E177)</f>
        <v/>
      </c>
      <c r="G177" s="6">
        <f>IF(B177="","",IF(COUNTIF(盘中持仓!B:B,B177),VLOOKUP(B177,盘中持仓!B:D,3,0),0))</f>
        <v/>
      </c>
      <c r="H177" s="27">
        <f>IF(B177="","",IF(G177&lt;&gt;0,IF(G177&gt;0,"","交易超限"),"该股票未持仓，仅可买入"))</f>
        <v/>
      </c>
    </row>
    <row r="178">
      <c r="A178" s="6" t="n">
        <v>177</v>
      </c>
      <c r="B178" s="6" t="n"/>
      <c r="C178" s="27" t="n"/>
      <c r="D178" s="6" t="n"/>
      <c r="E178" s="27">
        <f>IF(B178="","",IF(D178&lt;=0,-C178*D178*2.5/10000,C178*D178*12.5/10000))</f>
        <v/>
      </c>
      <c r="F178" s="27">
        <f>IF(B178="","",C178*D178-E178)</f>
        <v/>
      </c>
      <c r="G178" s="6">
        <f>IF(B178="","",IF(COUNTIF(盘中持仓!B:B,B178),VLOOKUP(B178,盘中持仓!B:D,3,0),0))</f>
        <v/>
      </c>
      <c r="H178" s="27">
        <f>IF(B178="","",IF(G178&lt;&gt;0,IF(G178&gt;0,"","交易超限"),"该股票未持仓，仅可买入"))</f>
        <v/>
      </c>
    </row>
    <row r="179">
      <c r="A179" s="6" t="n">
        <v>178</v>
      </c>
      <c r="B179" s="6" t="n"/>
      <c r="C179" s="27" t="n"/>
      <c r="D179" s="6" t="n"/>
      <c r="E179" s="27">
        <f>IF(B179="","",IF(D179&lt;=0,-C179*D179*2.5/10000,C179*D179*12.5/10000))</f>
        <v/>
      </c>
      <c r="F179" s="27">
        <f>IF(B179="","",C179*D179-E179)</f>
        <v/>
      </c>
      <c r="G179" s="6">
        <f>IF(B179="","",IF(COUNTIF(盘中持仓!B:B,B179),VLOOKUP(B179,盘中持仓!B:D,3,0),0))</f>
        <v/>
      </c>
      <c r="H179" s="27">
        <f>IF(B179="","",IF(G179&lt;&gt;0,IF(G179&gt;0,"","交易超限"),"该股票未持仓，仅可买入"))</f>
        <v/>
      </c>
    </row>
    <row r="180">
      <c r="A180" s="6" t="n">
        <v>179</v>
      </c>
      <c r="B180" s="6" t="n"/>
      <c r="C180" s="27" t="n"/>
      <c r="D180" s="6" t="n"/>
      <c r="E180" s="27">
        <f>IF(B180="","",IF(D180&lt;=0,-C180*D180*2.5/10000,C180*D180*12.5/10000))</f>
        <v/>
      </c>
      <c r="F180" s="27">
        <f>IF(B180="","",C180*D180-E180)</f>
        <v/>
      </c>
      <c r="G180" s="6">
        <f>IF(B180="","",IF(COUNTIF(盘中持仓!B:B,B180),VLOOKUP(B180,盘中持仓!B:D,3,0),0))</f>
        <v/>
      </c>
      <c r="H180" s="27">
        <f>IF(B180="","",IF(G180&lt;&gt;0,IF(G180&gt;0,"","交易超限"),"该股票未持仓，仅可买入"))</f>
        <v/>
      </c>
    </row>
    <row r="181">
      <c r="A181" s="6" t="n">
        <v>180</v>
      </c>
      <c r="B181" s="6" t="n"/>
      <c r="C181" s="27" t="n"/>
      <c r="D181" s="6" t="n"/>
      <c r="E181" s="27">
        <f>IF(B181="","",IF(D181&lt;=0,-C181*D181*2.5/10000,C181*D181*12.5/10000))</f>
        <v/>
      </c>
      <c r="F181" s="27">
        <f>IF(B181="","",C181*D181-E181)</f>
        <v/>
      </c>
      <c r="G181" s="6">
        <f>IF(B181="","",IF(COUNTIF(盘中持仓!B:B,B181),VLOOKUP(B181,盘中持仓!B:D,3,0),0))</f>
        <v/>
      </c>
      <c r="H181" s="27">
        <f>IF(B181="","",IF(G181&lt;&gt;0,IF(G181&gt;0,"","交易超限"),"该股票未持仓，仅可买入"))</f>
        <v/>
      </c>
    </row>
    <row r="182">
      <c r="A182" s="6" t="n">
        <v>181</v>
      </c>
      <c r="B182" s="6" t="n"/>
      <c r="C182" s="27" t="n"/>
      <c r="D182" s="6" t="n"/>
      <c r="E182" s="27">
        <f>IF(B182="","",IF(D182&lt;=0,-C182*D182*2.5/10000,C182*D182*12.5/10000))</f>
        <v/>
      </c>
      <c r="F182" s="27">
        <f>IF(B182="","",C182*D182-E182)</f>
        <v/>
      </c>
      <c r="G182" s="6">
        <f>IF(B182="","",IF(COUNTIF(盘中持仓!B:B,B182),VLOOKUP(B182,盘中持仓!B:D,3,0),0))</f>
        <v/>
      </c>
      <c r="H182" s="27">
        <f>IF(B182="","",IF(G182&lt;&gt;0,IF(G182&gt;0,"","交易超限"),"该股票未持仓，仅可买入"))</f>
        <v/>
      </c>
    </row>
    <row r="183">
      <c r="A183" s="6" t="n">
        <v>182</v>
      </c>
      <c r="B183" s="6" t="n"/>
      <c r="C183" s="27" t="n"/>
      <c r="D183" s="6" t="n"/>
      <c r="E183" s="27">
        <f>IF(B183="","",IF(D183&lt;=0,-C183*D183*2.5/10000,C183*D183*12.5/10000))</f>
        <v/>
      </c>
      <c r="F183" s="27">
        <f>IF(B183="","",C183*D183-E183)</f>
        <v/>
      </c>
      <c r="G183" s="6">
        <f>IF(B183="","",IF(COUNTIF(盘中持仓!B:B,B183),VLOOKUP(B183,盘中持仓!B:D,3,0),0))</f>
        <v/>
      </c>
      <c r="H183" s="27">
        <f>IF(B183="","",IF(G183&lt;&gt;0,IF(G183&gt;0,"","交易超限"),"该股票未持仓，仅可买入"))</f>
        <v/>
      </c>
    </row>
    <row r="184">
      <c r="A184" s="6" t="n">
        <v>183</v>
      </c>
      <c r="B184" s="6" t="n"/>
      <c r="C184" s="27" t="n"/>
      <c r="D184" s="6" t="n"/>
      <c r="E184" s="27">
        <f>IF(B184="","",IF(D184&lt;=0,-C184*D184*2.5/10000,C184*D184*12.5/10000))</f>
        <v/>
      </c>
      <c r="F184" s="27">
        <f>IF(B184="","",C184*D184-E184)</f>
        <v/>
      </c>
      <c r="G184" s="6">
        <f>IF(B184="","",IF(COUNTIF(盘中持仓!B:B,B184),VLOOKUP(B184,盘中持仓!B:D,3,0),0))</f>
        <v/>
      </c>
      <c r="H184" s="27">
        <f>IF(B184="","",IF(G184&lt;&gt;0,IF(G184&gt;0,"","交易超限"),"该股票未持仓，仅可买入"))</f>
        <v/>
      </c>
    </row>
    <row r="185">
      <c r="A185" s="6" t="n">
        <v>184</v>
      </c>
      <c r="B185" s="6" t="n"/>
      <c r="C185" s="27" t="n"/>
      <c r="D185" s="6" t="n"/>
      <c r="E185" s="27">
        <f>IF(B185="","",IF(D185&lt;=0,-C185*D185*2.5/10000,C185*D185*12.5/10000))</f>
        <v/>
      </c>
      <c r="F185" s="27">
        <f>IF(B185="","",C185*D185-E185)</f>
        <v/>
      </c>
      <c r="G185" s="6">
        <f>IF(B185="","",IF(COUNTIF(盘中持仓!B:B,B185),VLOOKUP(B185,盘中持仓!B:D,3,0),0))</f>
        <v/>
      </c>
      <c r="H185" s="27">
        <f>IF(B185="","",IF(G185&lt;&gt;0,IF(G185&gt;0,"","交易超限"),"该股票未持仓，仅可买入"))</f>
        <v/>
      </c>
    </row>
    <row r="186">
      <c r="A186" s="6" t="n">
        <v>185</v>
      </c>
      <c r="B186" s="6" t="n"/>
      <c r="C186" s="27" t="n"/>
      <c r="D186" s="6" t="n"/>
      <c r="E186" s="27">
        <f>IF(B186="","",IF(D186&lt;=0,-C186*D186*2.5/10000,C186*D186*12.5/10000))</f>
        <v/>
      </c>
      <c r="F186" s="27">
        <f>IF(B186="","",C186*D186-E186)</f>
        <v/>
      </c>
      <c r="G186" s="6">
        <f>IF(B186="","",IF(COUNTIF(盘中持仓!B:B,B186),VLOOKUP(B186,盘中持仓!B:D,3,0),0))</f>
        <v/>
      </c>
      <c r="H186" s="27">
        <f>IF(B186="","",IF(G186&lt;&gt;0,IF(G186&gt;0,"","交易超限"),"该股票未持仓，仅可买入"))</f>
        <v/>
      </c>
    </row>
    <row r="187">
      <c r="A187" s="6" t="n">
        <v>186</v>
      </c>
      <c r="B187" s="6" t="n"/>
      <c r="C187" s="27" t="n"/>
      <c r="D187" s="6" t="n"/>
      <c r="E187" s="27">
        <f>IF(B187="","",IF(D187&lt;=0,-C187*D187*2.5/10000,C187*D187*12.5/10000))</f>
        <v/>
      </c>
      <c r="F187" s="27">
        <f>IF(B187="","",C187*D187-E187)</f>
        <v/>
      </c>
      <c r="G187" s="6">
        <f>IF(B187="","",IF(COUNTIF(盘中持仓!B:B,B187),VLOOKUP(B187,盘中持仓!B:D,3,0),0))</f>
        <v/>
      </c>
      <c r="H187" s="27">
        <f>IF(B187="","",IF(G187&lt;&gt;0,IF(G187&gt;0,"","交易超限"),"该股票未持仓，仅可买入"))</f>
        <v/>
      </c>
    </row>
    <row r="188">
      <c r="A188" s="6" t="n">
        <v>187</v>
      </c>
      <c r="B188" s="6" t="n"/>
      <c r="C188" s="27" t="n"/>
      <c r="D188" s="6" t="n"/>
      <c r="E188" s="27">
        <f>IF(B188="","",IF(D188&lt;=0,-C188*D188*2.5/10000,C188*D188*12.5/10000))</f>
        <v/>
      </c>
      <c r="F188" s="27">
        <f>IF(B188="","",C188*D188-E188)</f>
        <v/>
      </c>
      <c r="G188" s="6">
        <f>IF(B188="","",IF(COUNTIF(盘中持仓!B:B,B188),VLOOKUP(B188,盘中持仓!B:D,3,0),0))</f>
        <v/>
      </c>
      <c r="H188" s="27">
        <f>IF(B188="","",IF(G188&lt;&gt;0,IF(G188&gt;0,"","交易超限"),"该股票未持仓，仅可买入"))</f>
        <v/>
      </c>
    </row>
    <row r="189">
      <c r="A189" s="6" t="n">
        <v>188</v>
      </c>
      <c r="B189" s="6" t="n"/>
      <c r="C189" s="27" t="n"/>
      <c r="D189" s="6" t="n"/>
      <c r="E189" s="27">
        <f>IF(B189="","",IF(D189&lt;=0,-C189*D189*2.5/10000,C189*D189*12.5/10000))</f>
        <v/>
      </c>
      <c r="F189" s="27">
        <f>IF(B189="","",C189*D189-E189)</f>
        <v/>
      </c>
      <c r="G189" s="6">
        <f>IF(B189="","",IF(COUNTIF(盘中持仓!B:B,B189),VLOOKUP(B189,盘中持仓!B:D,3,0),0))</f>
        <v/>
      </c>
      <c r="H189" s="27">
        <f>IF(B189="","",IF(G189&lt;&gt;0,IF(G189&gt;0,"","交易超限"),"该股票未持仓，仅可买入"))</f>
        <v/>
      </c>
    </row>
    <row r="190">
      <c r="A190" s="6" t="n">
        <v>189</v>
      </c>
      <c r="B190" s="6" t="n"/>
      <c r="C190" s="27" t="n"/>
      <c r="D190" s="6" t="n"/>
      <c r="E190" s="27">
        <f>IF(B190="","",IF(D190&lt;=0,-C190*D190*2.5/10000,C190*D190*12.5/10000))</f>
        <v/>
      </c>
      <c r="F190" s="27">
        <f>IF(B190="","",C190*D190-E190)</f>
        <v/>
      </c>
      <c r="G190" s="6">
        <f>IF(B190="","",IF(COUNTIF(盘中持仓!B:B,B190),VLOOKUP(B190,盘中持仓!B:D,3,0),0))</f>
        <v/>
      </c>
      <c r="H190" s="27">
        <f>IF(B190="","",IF(G190&lt;&gt;0,IF(G190&gt;0,"","交易超限"),"该股票未持仓，仅可买入"))</f>
        <v/>
      </c>
    </row>
    <row r="191">
      <c r="A191" s="6" t="n">
        <v>190</v>
      </c>
      <c r="B191" s="6" t="n"/>
      <c r="C191" s="27" t="n"/>
      <c r="D191" s="6" t="n"/>
      <c r="E191" s="27">
        <f>IF(B191="","",IF(D191&lt;=0,-C191*D191*2.5/10000,C191*D191*12.5/10000))</f>
        <v/>
      </c>
      <c r="F191" s="27">
        <f>IF(B191="","",C191*D191-E191)</f>
        <v/>
      </c>
      <c r="G191" s="6">
        <f>IF(B191="","",IF(COUNTIF(盘中持仓!B:B,B191),VLOOKUP(B191,盘中持仓!B:D,3,0),0))</f>
        <v/>
      </c>
      <c r="H191" s="27">
        <f>IF(B191="","",IF(G191&lt;&gt;0,IF(G191&gt;0,"","交易超限"),"该股票未持仓，仅可买入"))</f>
        <v/>
      </c>
    </row>
    <row r="192">
      <c r="A192" s="6" t="n">
        <v>191</v>
      </c>
      <c r="B192" s="6" t="n"/>
      <c r="C192" s="27" t="n"/>
      <c r="D192" s="6" t="n"/>
      <c r="E192" s="27">
        <f>IF(B192="","",IF(D192&lt;=0,-C192*D192*2.5/10000,C192*D192*12.5/10000))</f>
        <v/>
      </c>
      <c r="F192" s="27">
        <f>IF(B192="","",C192*D192-E192)</f>
        <v/>
      </c>
      <c r="G192" s="6">
        <f>IF(B192="","",IF(COUNTIF(盘中持仓!B:B,B192),VLOOKUP(B192,盘中持仓!B:D,3,0),0))</f>
        <v/>
      </c>
      <c r="H192" s="27">
        <f>IF(B192="","",IF(G192&lt;&gt;0,IF(G192&gt;0,"","交易超限"),"该股票未持仓，仅可买入"))</f>
        <v/>
      </c>
    </row>
    <row r="193">
      <c r="A193" s="6" t="n">
        <v>192</v>
      </c>
      <c r="B193" s="6" t="n"/>
      <c r="C193" s="27" t="n"/>
      <c r="D193" s="6" t="n"/>
      <c r="E193" s="27">
        <f>IF(B193="","",IF(D193&lt;=0,-C193*D193*2.5/10000,C193*D193*12.5/10000))</f>
        <v/>
      </c>
      <c r="F193" s="27">
        <f>IF(B193="","",C193*D193-E193)</f>
        <v/>
      </c>
      <c r="G193" s="6">
        <f>IF(B193="","",IF(COUNTIF(盘中持仓!B:B,B193),VLOOKUP(B193,盘中持仓!B:D,3,0),0))</f>
        <v/>
      </c>
      <c r="H193" s="27">
        <f>IF(B193="","",IF(G193&lt;&gt;0,IF(G193&gt;0,"","交易超限"),"该股票未持仓，仅可买入"))</f>
        <v/>
      </c>
    </row>
    <row r="194">
      <c r="A194" s="6" t="n">
        <v>193</v>
      </c>
      <c r="B194" s="6" t="n"/>
      <c r="C194" s="27" t="n"/>
      <c r="D194" s="6" t="n"/>
      <c r="E194" s="27">
        <f>IF(B194="","",IF(D194&lt;=0,-C194*D194*2.5/10000,C194*D194*12.5/10000))</f>
        <v/>
      </c>
      <c r="F194" s="27">
        <f>IF(B194="","",C194*D194-E194)</f>
        <v/>
      </c>
      <c r="G194" s="6">
        <f>IF(B194="","",IF(COUNTIF(盘中持仓!B:B,B194),VLOOKUP(B194,盘中持仓!B:D,3,0),0))</f>
        <v/>
      </c>
      <c r="H194" s="27">
        <f>IF(B194="","",IF(G194&lt;&gt;0,IF(G194&gt;0,"","交易超限"),"该股票未持仓，仅可买入"))</f>
        <v/>
      </c>
    </row>
    <row r="195">
      <c r="A195" s="6" t="n">
        <v>194</v>
      </c>
      <c r="B195" s="6" t="n"/>
      <c r="C195" s="27" t="n"/>
      <c r="D195" s="6" t="n"/>
      <c r="E195" s="27">
        <f>IF(B195="","",IF(D195&lt;=0,-C195*D195*2.5/10000,C195*D195*12.5/10000))</f>
        <v/>
      </c>
      <c r="F195" s="27">
        <f>IF(B195="","",C195*D195-E195)</f>
        <v/>
      </c>
      <c r="G195" s="6">
        <f>IF(B195="","",IF(COUNTIF(盘中持仓!B:B,B195),VLOOKUP(B195,盘中持仓!B:D,3,0),0))</f>
        <v/>
      </c>
      <c r="H195" s="27">
        <f>IF(B195="","",IF(G195&lt;&gt;0,IF(G195&gt;0,"","交易超限"),"该股票未持仓，仅可买入"))</f>
        <v/>
      </c>
    </row>
    <row r="196">
      <c r="A196" s="6" t="n">
        <v>195</v>
      </c>
      <c r="B196" s="6" t="n"/>
      <c r="C196" s="27" t="n"/>
      <c r="D196" s="6" t="n"/>
      <c r="E196" s="27">
        <f>IF(B196="","",IF(D196&lt;=0,-C196*D196*2.5/10000,C196*D196*12.5/10000))</f>
        <v/>
      </c>
      <c r="F196" s="27">
        <f>IF(B196="","",C196*D196-E196)</f>
        <v/>
      </c>
      <c r="G196" s="6">
        <f>IF(B196="","",IF(COUNTIF(盘中持仓!B:B,B196),VLOOKUP(B196,盘中持仓!B:D,3,0),0))</f>
        <v/>
      </c>
      <c r="H196" s="27">
        <f>IF(B196="","",IF(G196&lt;&gt;0,IF(G196&gt;0,"","交易超限"),"该股票未持仓，仅可买入"))</f>
        <v/>
      </c>
    </row>
    <row r="197">
      <c r="A197" s="6" t="n">
        <v>196</v>
      </c>
      <c r="B197" s="6" t="n"/>
      <c r="C197" s="27" t="n"/>
      <c r="D197" s="6" t="n"/>
      <c r="E197" s="27">
        <f>IF(B197="","",IF(D197&lt;=0,-C197*D197*2.5/10000,C197*D197*12.5/10000))</f>
        <v/>
      </c>
      <c r="F197" s="27">
        <f>IF(B197="","",C197*D197-E197)</f>
        <v/>
      </c>
      <c r="G197" s="6">
        <f>IF(B197="","",IF(COUNTIF(盘中持仓!B:B,B197),VLOOKUP(B197,盘中持仓!B:D,3,0),0))</f>
        <v/>
      </c>
      <c r="H197" s="27">
        <f>IF(B197="","",IF(G197&lt;&gt;0,IF(G197&gt;0,"","交易超限"),"该股票未持仓，仅可买入"))</f>
        <v/>
      </c>
    </row>
    <row r="198">
      <c r="A198" s="6" t="n">
        <v>197</v>
      </c>
      <c r="B198" s="6" t="n"/>
      <c r="C198" s="27" t="n"/>
      <c r="D198" s="6" t="n"/>
      <c r="E198" s="27">
        <f>IF(B198="","",IF(D198&lt;=0,-C198*D198*2.5/10000,C198*D198*12.5/10000))</f>
        <v/>
      </c>
      <c r="F198" s="27">
        <f>IF(B198="","",C198*D198-E198)</f>
        <v/>
      </c>
      <c r="G198" s="6">
        <f>IF(B198="","",IF(COUNTIF(盘中持仓!B:B,B198),VLOOKUP(B198,盘中持仓!B:D,3,0),0))</f>
        <v/>
      </c>
      <c r="H198" s="27">
        <f>IF(B198="","",IF(G198&lt;&gt;0,IF(G198&gt;0,"","交易超限"),"该股票未持仓，仅可买入"))</f>
        <v/>
      </c>
    </row>
    <row r="199">
      <c r="A199" s="6" t="n">
        <v>198</v>
      </c>
      <c r="B199" s="6" t="n"/>
      <c r="C199" s="27" t="n"/>
      <c r="D199" s="6" t="n"/>
      <c r="E199" s="27">
        <f>IF(B199="","",IF(D199&lt;=0,-C199*D199*2.5/10000,C199*D199*12.5/10000))</f>
        <v/>
      </c>
      <c r="F199" s="27">
        <f>IF(B199="","",C199*D199-E199)</f>
        <v/>
      </c>
      <c r="G199" s="6">
        <f>IF(B199="","",IF(COUNTIF(盘中持仓!B:B,B199),VLOOKUP(B199,盘中持仓!B:D,3,0),0))</f>
        <v/>
      </c>
      <c r="H199" s="27">
        <f>IF(B199="","",IF(G199&lt;&gt;0,IF(G199&gt;0,"","交易超限"),"该股票未持仓，仅可买入"))</f>
        <v/>
      </c>
    </row>
    <row r="200">
      <c r="A200" s="6" t="n">
        <v>199</v>
      </c>
      <c r="B200" s="6" t="n"/>
      <c r="C200" s="27" t="n"/>
      <c r="D200" s="6" t="n"/>
      <c r="E200" s="27">
        <f>IF(B200="","",IF(D200&lt;=0,-C200*D200*2.5/10000,C200*D200*12.5/10000))</f>
        <v/>
      </c>
      <c r="F200" s="27">
        <f>IF(B200="","",C200*D200-E200)</f>
        <v/>
      </c>
      <c r="G200" s="6">
        <f>IF(B200="","",IF(COUNTIF(盘中持仓!B:B,B200),VLOOKUP(B200,盘中持仓!B:D,3,0),0))</f>
        <v/>
      </c>
      <c r="H200" s="27">
        <f>IF(B200="","",IF(G200&lt;&gt;0,IF(G200&gt;0,"","交易超限"),"该股票未持仓，仅可买入"))</f>
        <v/>
      </c>
    </row>
    <row r="201">
      <c r="A201" s="6" t="n">
        <v>200</v>
      </c>
      <c r="B201" s="6" t="n"/>
      <c r="C201" s="27" t="n"/>
      <c r="D201" s="6" t="n"/>
      <c r="E201" s="27">
        <f>IF(B201="","",IF(D201&lt;=0,-C201*D201*2.5/10000,C201*D201*12.5/10000))</f>
        <v/>
      </c>
      <c r="F201" s="27">
        <f>IF(B201="","",C201*D201-E201)</f>
        <v/>
      </c>
      <c r="G201" s="6">
        <f>IF(B201="","",IF(COUNTIF(盘中持仓!B:B,B201),VLOOKUP(B201,盘中持仓!B:D,3,0),0))</f>
        <v/>
      </c>
      <c r="H201" s="27">
        <f>IF(B201="","",IF(G201&lt;&gt;0,IF(G201&gt;0,"","交易超限"),"该股票未持仓，仅可买入"))</f>
        <v/>
      </c>
    </row>
  </sheetData>
  <autoFilter ref="A1:G201"/>
  <conditionalFormatting sqref="H1:H1048576">
    <cfRule type="cellIs" priority="2" operator="equal" dxfId="0">
      <formula>"交易超限"</formula>
    </cfRule>
    <cfRule type="cellIs" priority="1" operator="equal" dxfId="2">
      <formula>"该股票未持仓，仅可买入"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201"/>
  <sheetViews>
    <sheetView workbookViewId="0">
      <selection activeCell="F22" sqref="F22"/>
    </sheetView>
  </sheetViews>
  <sheetFormatPr baseColWidth="8" defaultColWidth="9" defaultRowHeight="15" outlineLevelCol="0"/>
  <cols>
    <col width="5.12380952380952" customWidth="1" style="1" min="1" max="1"/>
    <col width="8.87619047619048" customWidth="1" style="1" min="2" max="2"/>
    <col width="11.5047619047619" customWidth="1" style="23" min="3" max="3"/>
    <col width="8.87619047619048" customWidth="1" style="1" min="4" max="4"/>
    <col width="9" customWidth="1" style="1" min="5" max="5"/>
  </cols>
  <sheetData>
    <row r="1" customFormat="1" s="1">
      <c r="A1" s="3" t="inlineStr">
        <is>
          <t>序号</t>
        </is>
      </c>
      <c r="B1" s="3" t="inlineStr">
        <is>
          <t>股票名称</t>
        </is>
      </c>
      <c r="C1" s="25" t="inlineStr">
        <is>
          <t>持仓成本</t>
        </is>
      </c>
      <c r="D1" s="3" t="inlineStr">
        <is>
          <t>持仓股数</t>
        </is>
      </c>
      <c r="E1" s="5" t="n"/>
    </row>
    <row r="2">
      <c r="A2" s="6" t="n">
        <v>1</v>
      </c>
      <c r="B2" s="6">
        <f>VLOOKUP(A2,持仓总表!A:B,2,0)</f>
        <v/>
      </c>
      <c r="C2" s="27">
        <f>(持仓总表!C2*持仓总表!D2-SUMIF(当日交易记录!B:B,B2,当日交易记录!F:F))/D2</f>
        <v/>
      </c>
      <c r="D2" s="6">
        <f>持仓总表!D2-SUMIF(当日交易记录!B:B,B2,当日交易记录!D:D)</f>
        <v/>
      </c>
    </row>
    <row r="3">
      <c r="A3" s="6" t="n">
        <v>2</v>
      </c>
      <c r="B3" s="6">
        <f>VLOOKUP(A3,持仓总表!A:B,2,0)</f>
        <v/>
      </c>
      <c r="C3" s="27">
        <f>(持仓总表!C3*持仓总表!D3-SUMIF(当日交易记录!B:B,B3,当日交易记录!F:F))/D3</f>
        <v/>
      </c>
      <c r="D3" s="6">
        <f>持仓总表!D3-SUMIF(当日交易记录!B:B,B3,当日交易记录!D:D)</f>
        <v/>
      </c>
    </row>
    <row r="4">
      <c r="A4" s="6" t="n">
        <v>3</v>
      </c>
      <c r="B4" s="6">
        <f>VLOOKUP(A4,持仓总表!A:B,2,0)</f>
        <v/>
      </c>
      <c r="C4" s="27">
        <f>(持仓总表!C4*持仓总表!D4-SUMIF(当日交易记录!B:B,B4,当日交易记录!F:F))/D4</f>
        <v/>
      </c>
      <c r="D4" s="6">
        <f>持仓总表!D4-SUMIF(当日交易记录!B:B,B4,当日交易记录!D:D)</f>
        <v/>
      </c>
    </row>
    <row r="5">
      <c r="A5" s="6" t="n">
        <v>4</v>
      </c>
      <c r="B5" s="6">
        <f>VLOOKUP(A5,持仓总表!A:B,2,0)</f>
        <v/>
      </c>
      <c r="C5" s="27">
        <f>(持仓总表!C5*持仓总表!D5-SUMIF(当日交易记录!B:B,B5,当日交易记录!F:F))/D5</f>
        <v/>
      </c>
      <c r="D5" s="6">
        <f>持仓总表!D5-SUMIF(当日交易记录!B:B,B5,当日交易记录!D:D)</f>
        <v/>
      </c>
    </row>
    <row r="6">
      <c r="A6" s="6" t="n">
        <v>5</v>
      </c>
      <c r="B6" s="6">
        <f>VLOOKUP(A6,持仓总表!A:B,2,0)</f>
        <v/>
      </c>
      <c r="C6" s="27">
        <f>(持仓总表!C6*持仓总表!D6-SUMIF(当日交易记录!B:B,B6,当日交易记录!F:F))/D6</f>
        <v/>
      </c>
      <c r="D6" s="6">
        <f>持仓总表!D6-SUMIF(当日交易记录!B:B,B6,当日交易记录!D:D)</f>
        <v/>
      </c>
    </row>
    <row r="7">
      <c r="A7" s="6" t="n">
        <v>6</v>
      </c>
      <c r="B7" s="6">
        <f>VLOOKUP(A7,持仓总表!A:B,2,0)</f>
        <v/>
      </c>
      <c r="C7" s="27">
        <f>(持仓总表!C7*持仓总表!D7-SUMIF(当日交易记录!B:B,B7,当日交易记录!F:F))/D7</f>
        <v/>
      </c>
      <c r="D7" s="6">
        <f>持仓总表!D7-SUMIF(当日交易记录!B:B,B7,当日交易记录!D:D)</f>
        <v/>
      </c>
    </row>
    <row r="8">
      <c r="A8" s="6" t="n">
        <v>7</v>
      </c>
      <c r="B8" s="6">
        <f>VLOOKUP(A8,持仓总表!A:B,2,0)</f>
        <v/>
      </c>
      <c r="C8" s="27">
        <f>(持仓总表!C8*持仓总表!D8-SUMIF(当日交易记录!B:B,B8,当日交易记录!F:F))/D8</f>
        <v/>
      </c>
      <c r="D8" s="6">
        <f>持仓总表!D8-SUMIF(当日交易记录!B:B,B8,当日交易记录!D:D)</f>
        <v/>
      </c>
    </row>
    <row r="9">
      <c r="A9" s="6" t="n">
        <v>8</v>
      </c>
      <c r="B9" s="6">
        <f>VLOOKUP(A9,持仓总表!A:B,2,0)</f>
        <v/>
      </c>
      <c r="C9" s="27">
        <f>(持仓总表!C9*持仓总表!D9-SUMIF(当日交易记录!B:B,B9,当日交易记录!F:F))/D9</f>
        <v/>
      </c>
      <c r="D9" s="6">
        <f>持仓总表!D9-SUMIF(当日交易记录!B:B,B9,当日交易记录!D:D)</f>
        <v/>
      </c>
    </row>
    <row r="10">
      <c r="A10" s="6" t="n">
        <v>9</v>
      </c>
      <c r="B10" s="6">
        <f>VLOOKUP(A10,持仓总表!A:B,2,0)</f>
        <v/>
      </c>
      <c r="C10" s="27">
        <f>(持仓总表!C10*持仓总表!D10-SUMIF(当日交易记录!B:B,B10,当日交易记录!F:F))/D10</f>
        <v/>
      </c>
      <c r="D10" s="6">
        <f>持仓总表!D10-SUMIF(当日交易记录!B:B,B10,当日交易记录!D:D)</f>
        <v/>
      </c>
    </row>
    <row r="11">
      <c r="A11" s="6" t="n">
        <v>10</v>
      </c>
      <c r="B11" s="6">
        <f>VLOOKUP(A11,持仓总表!A:B,2,0)</f>
        <v/>
      </c>
      <c r="C11" s="27">
        <f>(持仓总表!C11*持仓总表!D11-SUMIF(当日交易记录!B:B,B11,当日交易记录!F:F))/D11</f>
        <v/>
      </c>
      <c r="D11" s="6">
        <f>持仓总表!D11-SUMIF(当日交易记录!B:B,B11,当日交易记录!D:D)</f>
        <v/>
      </c>
    </row>
    <row r="12">
      <c r="A12" s="6" t="n">
        <v>11</v>
      </c>
      <c r="B12" s="6">
        <f>VLOOKUP(A12,持仓总表!A:B,2,0)</f>
        <v/>
      </c>
      <c r="C12" s="27">
        <f>(持仓总表!C12*持仓总表!D12-SUMIF(当日交易记录!B:B,B12,当日交易记录!F:F))/D12</f>
        <v/>
      </c>
      <c r="D12" s="6">
        <f>持仓总表!D12-SUMIF(当日交易记录!B:B,B12,当日交易记录!D:D)</f>
        <v/>
      </c>
    </row>
    <row r="13">
      <c r="A13" s="6" t="n">
        <v>12</v>
      </c>
      <c r="B13" s="6">
        <f>VLOOKUP(A13,持仓总表!A:B,2,0)</f>
        <v/>
      </c>
      <c r="C13" s="27">
        <f>(持仓总表!C13*持仓总表!D13-SUMIF(当日交易记录!B:B,B13,当日交易记录!F:F))/D13</f>
        <v/>
      </c>
      <c r="D13" s="6">
        <f>持仓总表!D13-SUMIF(当日交易记录!B:B,B13,当日交易记录!D:D)</f>
        <v/>
      </c>
    </row>
    <row r="14">
      <c r="A14" s="6" t="n">
        <v>13</v>
      </c>
      <c r="B14" s="6">
        <f>VLOOKUP(A14,持仓总表!A:B,2,0)</f>
        <v/>
      </c>
      <c r="C14" s="27">
        <f>(持仓总表!C14*持仓总表!D14-SUMIF(当日交易记录!B:B,B14,当日交易记录!F:F))/D14</f>
        <v/>
      </c>
      <c r="D14" s="6">
        <f>持仓总表!D14-SUMIF(当日交易记录!B:B,B14,当日交易记录!D:D)</f>
        <v/>
      </c>
    </row>
    <row r="15">
      <c r="A15" s="6" t="n">
        <v>14</v>
      </c>
      <c r="B15" s="6">
        <f>VLOOKUP(A15,持仓总表!A:B,2,0)</f>
        <v/>
      </c>
      <c r="C15" s="27">
        <f>(持仓总表!C15*持仓总表!D15-SUMIF(当日交易记录!B:B,B15,当日交易记录!F:F))/D15</f>
        <v/>
      </c>
      <c r="D15" s="6">
        <f>持仓总表!D15-SUMIF(当日交易记录!B:B,B15,当日交易记录!D:D)</f>
        <v/>
      </c>
    </row>
    <row r="16">
      <c r="A16" s="6" t="n">
        <v>15</v>
      </c>
      <c r="B16" s="6">
        <f>VLOOKUP(A16,持仓总表!A:B,2,0)</f>
        <v/>
      </c>
      <c r="C16" s="27">
        <f>(持仓总表!C16*持仓总表!D16-SUMIF(当日交易记录!B:B,B16,当日交易记录!F:F))/D16</f>
        <v/>
      </c>
      <c r="D16" s="6">
        <f>持仓总表!D16-SUMIF(当日交易记录!B:B,B16,当日交易记录!D:D)</f>
        <v/>
      </c>
    </row>
    <row r="17">
      <c r="A17" s="6" t="n">
        <v>16</v>
      </c>
      <c r="B17" s="6">
        <f>VLOOKUP(A17,持仓总表!A:B,2,0)</f>
        <v/>
      </c>
      <c r="C17" s="27">
        <f>(持仓总表!C17*持仓总表!D17-SUMIF(当日交易记录!B:B,B17,当日交易记录!F:F))/D17</f>
        <v/>
      </c>
      <c r="D17" s="6">
        <f>持仓总表!D17-SUMIF(当日交易记录!B:B,B17,当日交易记录!D:D)</f>
        <v/>
      </c>
    </row>
    <row r="18">
      <c r="A18" s="6" t="n">
        <v>17</v>
      </c>
      <c r="B18" s="6">
        <f>VLOOKUP(A18,持仓总表!A:B,2,0)</f>
        <v/>
      </c>
      <c r="C18" s="27">
        <f>(持仓总表!C18*持仓总表!D18-SUMIF(当日交易记录!B:B,B18,当日交易记录!F:F))/D18</f>
        <v/>
      </c>
      <c r="D18" s="6">
        <f>持仓总表!D18-SUMIF(当日交易记录!B:B,B18,当日交易记录!D:D)</f>
        <v/>
      </c>
    </row>
    <row r="19">
      <c r="A19" s="6" t="n">
        <v>18</v>
      </c>
      <c r="B19" s="6">
        <f>VLOOKUP(A19,持仓总表!A:B,2,0)</f>
        <v/>
      </c>
      <c r="C19" s="27">
        <f>(持仓总表!C19*持仓总表!D19-SUMIF(当日交易记录!B:B,B19,当日交易记录!F:F))/D19</f>
        <v/>
      </c>
      <c r="D19" s="6">
        <f>持仓总表!D19-SUMIF(当日交易记录!B:B,B19,当日交易记录!D:D)</f>
        <v/>
      </c>
    </row>
    <row r="20">
      <c r="A20" s="6" t="n">
        <v>19</v>
      </c>
      <c r="B20" s="6">
        <f>VLOOKUP(A20,持仓总表!A:B,2,0)</f>
        <v/>
      </c>
      <c r="C20" s="27">
        <f>(持仓总表!C20*持仓总表!D20-SUMIF(当日交易记录!B:B,B20,当日交易记录!F:F))/D20</f>
        <v/>
      </c>
      <c r="D20" s="6">
        <f>持仓总表!D20-SUMIF(当日交易记录!B:B,B20,当日交易记录!D:D)</f>
        <v/>
      </c>
    </row>
    <row r="21">
      <c r="A21" s="6" t="n">
        <v>20</v>
      </c>
      <c r="B21" s="6">
        <f>VLOOKUP(A21,持仓总表!A:B,2,0)</f>
        <v/>
      </c>
      <c r="C21" s="27">
        <f>(持仓总表!C21*持仓总表!D21-SUMIF(当日交易记录!B:B,B21,当日交易记录!F:F))/D21</f>
        <v/>
      </c>
      <c r="D21" s="6">
        <f>持仓总表!D21-SUMIF(当日交易记录!B:B,B21,当日交易记录!D:D)</f>
        <v/>
      </c>
    </row>
    <row r="22">
      <c r="A22" s="6" t="n">
        <v>21</v>
      </c>
      <c r="B22" s="6">
        <f>VLOOKUP(A22,持仓总表!A:B,2,0)</f>
        <v/>
      </c>
      <c r="C22" s="27">
        <f>(持仓总表!C22*持仓总表!D22-SUMIF(当日交易记录!B:B,B22,当日交易记录!F:F))/D22</f>
        <v/>
      </c>
      <c r="D22" s="6">
        <f>持仓总表!D22-SUMIF(当日交易记录!B:B,B22,当日交易记录!D:D)</f>
        <v/>
      </c>
    </row>
    <row r="23">
      <c r="A23" s="6" t="n">
        <v>22</v>
      </c>
      <c r="B23" s="6">
        <f>VLOOKUP(A23,持仓总表!A:B,2,0)</f>
        <v/>
      </c>
      <c r="C23" s="27">
        <f>(持仓总表!C23*持仓总表!D23-SUMIF(当日交易记录!B:B,B23,当日交易记录!F:F))/D23</f>
        <v/>
      </c>
      <c r="D23" s="6">
        <f>持仓总表!D23-SUMIF(当日交易记录!B:B,B23,当日交易记录!D:D)</f>
        <v/>
      </c>
    </row>
    <row r="24">
      <c r="A24" s="6" t="n">
        <v>23</v>
      </c>
      <c r="B24" s="6">
        <f>VLOOKUP(A24,持仓总表!A:B,2,0)</f>
        <v/>
      </c>
      <c r="C24" s="27">
        <f>(持仓总表!C24*持仓总表!D24-SUMIF(当日交易记录!B:B,B24,当日交易记录!F:F))/D24</f>
        <v/>
      </c>
      <c r="D24" s="6">
        <f>持仓总表!D24-SUMIF(当日交易记录!B:B,B24,当日交易记录!D:D)</f>
        <v/>
      </c>
    </row>
    <row r="25">
      <c r="A25" s="6" t="n">
        <v>24</v>
      </c>
      <c r="B25" s="6">
        <f>VLOOKUP(A25,持仓总表!A:B,2,0)</f>
        <v/>
      </c>
      <c r="C25" s="27">
        <f>(持仓总表!C25*持仓总表!D25-SUMIF(当日交易记录!B:B,B25,当日交易记录!F:F))/D25</f>
        <v/>
      </c>
      <c r="D25" s="6">
        <f>持仓总表!D25-SUMIF(当日交易记录!B:B,B25,当日交易记录!D:D)</f>
        <v/>
      </c>
    </row>
    <row r="26">
      <c r="A26" s="6" t="n">
        <v>25</v>
      </c>
      <c r="B26" s="6">
        <f>VLOOKUP(A26,持仓总表!A:B,2,0)</f>
        <v/>
      </c>
      <c r="C26" s="27">
        <f>(持仓总表!C26*持仓总表!D26-SUMIF(当日交易记录!B:B,B26,当日交易记录!F:F))/D26</f>
        <v/>
      </c>
      <c r="D26" s="6">
        <f>持仓总表!D26-SUMIF(当日交易记录!B:B,B26,当日交易记录!D:D)</f>
        <v/>
      </c>
    </row>
    <row r="27">
      <c r="A27" s="6" t="n">
        <v>26</v>
      </c>
      <c r="B27" s="6">
        <f>VLOOKUP(A27,持仓总表!A:B,2,0)</f>
        <v/>
      </c>
      <c r="C27" s="27">
        <f>(持仓总表!C27*持仓总表!D27-SUMIF(当日交易记录!B:B,B27,当日交易记录!F:F))/D27</f>
        <v/>
      </c>
      <c r="D27" s="6">
        <f>持仓总表!D27-SUMIF(当日交易记录!B:B,B27,当日交易记录!D:D)</f>
        <v/>
      </c>
    </row>
    <row r="28">
      <c r="A28" s="6" t="n">
        <v>27</v>
      </c>
      <c r="B28" s="6">
        <f>VLOOKUP(A28,持仓总表!A:B,2,0)</f>
        <v/>
      </c>
      <c r="C28" s="27">
        <f>(持仓总表!C28*持仓总表!D28-SUMIF(当日交易记录!B:B,B28,当日交易记录!F:F))/D28</f>
        <v/>
      </c>
      <c r="D28" s="6">
        <f>持仓总表!D28-SUMIF(当日交易记录!B:B,B28,当日交易记录!D:D)</f>
        <v/>
      </c>
    </row>
    <row r="29">
      <c r="A29" s="6" t="n">
        <v>28</v>
      </c>
      <c r="B29" s="6">
        <f>VLOOKUP(A29,持仓总表!A:B,2,0)</f>
        <v/>
      </c>
      <c r="C29" s="27">
        <f>(持仓总表!C29*持仓总表!D29-SUMIF(当日交易记录!B:B,B29,当日交易记录!F:F))/D29</f>
        <v/>
      </c>
      <c r="D29" s="6">
        <f>持仓总表!D29-SUMIF(当日交易记录!B:B,B29,当日交易记录!D:D)</f>
        <v/>
      </c>
    </row>
    <row r="30">
      <c r="A30" s="6" t="n">
        <v>29</v>
      </c>
      <c r="B30" s="6">
        <f>VLOOKUP(A30,持仓总表!A:B,2,0)</f>
        <v/>
      </c>
      <c r="C30" s="27">
        <f>(持仓总表!C30*持仓总表!D30-SUMIF(当日交易记录!B:B,B30,当日交易记录!F:F))/D30</f>
        <v/>
      </c>
      <c r="D30" s="6">
        <f>持仓总表!D30-SUMIF(当日交易记录!B:B,B30,当日交易记录!D:D)</f>
        <v/>
      </c>
    </row>
    <row r="31">
      <c r="A31" s="6" t="n">
        <v>30</v>
      </c>
      <c r="B31" s="6">
        <f>VLOOKUP(A31,持仓总表!A:B,2,0)</f>
        <v/>
      </c>
      <c r="C31" s="27">
        <f>(持仓总表!C31*持仓总表!D31-SUMIF(当日交易记录!B:B,B31,当日交易记录!F:F))/D31</f>
        <v/>
      </c>
      <c r="D31" s="6">
        <f>持仓总表!D31-SUMIF(当日交易记录!B:B,B31,当日交易记录!D:D)</f>
        <v/>
      </c>
    </row>
    <row r="32">
      <c r="A32" s="6" t="n">
        <v>31</v>
      </c>
      <c r="B32" s="6">
        <f>VLOOKUP(A32,持仓总表!A:B,2,0)</f>
        <v/>
      </c>
      <c r="C32" s="27">
        <f>(持仓总表!C32*持仓总表!D32-SUMIF(当日交易记录!B:B,B32,当日交易记录!F:F))/D32</f>
        <v/>
      </c>
      <c r="D32" s="6">
        <f>持仓总表!D32-SUMIF(当日交易记录!B:B,B32,当日交易记录!D:D)</f>
        <v/>
      </c>
    </row>
    <row r="33">
      <c r="A33" s="6" t="n">
        <v>32</v>
      </c>
      <c r="B33" s="6">
        <f>VLOOKUP(A33,持仓总表!A:B,2,0)</f>
        <v/>
      </c>
      <c r="C33" s="27">
        <f>(持仓总表!C33*持仓总表!D33-SUMIF(当日交易记录!B:B,B33,当日交易记录!F:F))/D33</f>
        <v/>
      </c>
      <c r="D33" s="6">
        <f>持仓总表!D33-SUMIF(当日交易记录!B:B,B33,当日交易记录!D:D)</f>
        <v/>
      </c>
    </row>
    <row r="34">
      <c r="A34" s="6" t="n">
        <v>33</v>
      </c>
      <c r="B34" s="6">
        <f>VLOOKUP(A34,持仓总表!A:B,2,0)</f>
        <v/>
      </c>
      <c r="C34" s="27">
        <f>(持仓总表!C34*持仓总表!D34-SUMIF(当日交易记录!B:B,B34,当日交易记录!F:F))/D34</f>
        <v/>
      </c>
      <c r="D34" s="6">
        <f>持仓总表!D34-SUMIF(当日交易记录!B:B,B34,当日交易记录!D:D)</f>
        <v/>
      </c>
    </row>
    <row r="35">
      <c r="A35" s="6" t="n">
        <v>34</v>
      </c>
      <c r="B35" s="6">
        <f>VLOOKUP(A35,持仓总表!A:B,2,0)</f>
        <v/>
      </c>
      <c r="C35" s="27">
        <f>(持仓总表!C35*持仓总表!D35-SUMIF(当日交易记录!B:B,B35,当日交易记录!F:F))/D35</f>
        <v/>
      </c>
      <c r="D35" s="6">
        <f>持仓总表!D35-SUMIF(当日交易记录!B:B,B35,当日交易记录!D:D)</f>
        <v/>
      </c>
    </row>
    <row r="36">
      <c r="A36" s="6" t="n">
        <v>35</v>
      </c>
      <c r="B36" s="6">
        <f>VLOOKUP(A36,持仓总表!A:B,2,0)</f>
        <v/>
      </c>
      <c r="C36" s="27">
        <f>(持仓总表!C36*持仓总表!D36-SUMIF(当日交易记录!B:B,B36,当日交易记录!F:F))/D36</f>
        <v/>
      </c>
      <c r="D36" s="6">
        <f>持仓总表!D36-SUMIF(当日交易记录!B:B,B36,当日交易记录!D:D)</f>
        <v/>
      </c>
    </row>
    <row r="37">
      <c r="A37" s="6" t="n">
        <v>36</v>
      </c>
      <c r="B37" s="6">
        <f>VLOOKUP(A37,持仓总表!A:B,2,0)</f>
        <v/>
      </c>
      <c r="C37" s="27">
        <f>(持仓总表!C37*持仓总表!D37-SUMIF(当日交易记录!B:B,B37,当日交易记录!F:F))/D37</f>
        <v/>
      </c>
      <c r="D37" s="6">
        <f>持仓总表!D37-SUMIF(当日交易记录!B:B,B37,当日交易记录!D:D)</f>
        <v/>
      </c>
    </row>
    <row r="38">
      <c r="A38" s="6" t="n">
        <v>37</v>
      </c>
      <c r="B38" s="6">
        <f>VLOOKUP(A38,持仓总表!A:B,2,0)</f>
        <v/>
      </c>
      <c r="C38" s="27">
        <f>(持仓总表!C38*持仓总表!D38-SUMIF(当日交易记录!B:B,B38,当日交易记录!F:F))/D38</f>
        <v/>
      </c>
      <c r="D38" s="6">
        <f>持仓总表!D38-SUMIF(当日交易记录!B:B,B38,当日交易记录!D:D)</f>
        <v/>
      </c>
    </row>
    <row r="39">
      <c r="A39" s="6" t="n">
        <v>38</v>
      </c>
      <c r="B39" s="6">
        <f>VLOOKUP(A39,持仓总表!A:B,2,0)</f>
        <v/>
      </c>
      <c r="C39" s="27">
        <f>(持仓总表!C39*持仓总表!D39-SUMIF(当日交易记录!B:B,B39,当日交易记录!F:F))/D39</f>
        <v/>
      </c>
      <c r="D39" s="6">
        <f>持仓总表!D39-SUMIF(当日交易记录!B:B,B39,当日交易记录!D:D)</f>
        <v/>
      </c>
    </row>
    <row r="40">
      <c r="A40" s="6" t="n">
        <v>39</v>
      </c>
      <c r="B40" s="6">
        <f>VLOOKUP(A40,持仓总表!A:B,2,0)</f>
        <v/>
      </c>
      <c r="C40" s="27">
        <f>(持仓总表!C40*持仓总表!D40-SUMIF(当日交易记录!B:B,B40,当日交易记录!F:F))/D40</f>
        <v/>
      </c>
      <c r="D40" s="6">
        <f>持仓总表!D40-SUMIF(当日交易记录!B:B,B40,当日交易记录!D:D)</f>
        <v/>
      </c>
    </row>
    <row r="41">
      <c r="A41" s="6" t="n">
        <v>40</v>
      </c>
      <c r="B41" s="6">
        <f>VLOOKUP(A41,持仓总表!A:B,2,0)</f>
        <v/>
      </c>
      <c r="C41" s="27">
        <f>(持仓总表!C41*持仓总表!D41-SUMIF(当日交易记录!B:B,B41,当日交易记录!F:F))/D41</f>
        <v/>
      </c>
      <c r="D41" s="6">
        <f>持仓总表!D41-SUMIF(当日交易记录!B:B,B41,当日交易记录!D:D)</f>
        <v/>
      </c>
    </row>
    <row r="42">
      <c r="A42" s="6" t="n">
        <v>41</v>
      </c>
      <c r="B42" s="6">
        <f>VLOOKUP(A42,持仓总表!A:B,2,0)</f>
        <v/>
      </c>
      <c r="C42" s="27">
        <f>(持仓总表!C42*持仓总表!D42-SUMIF(当日交易记录!B:B,B42,当日交易记录!F:F))/D42</f>
        <v/>
      </c>
      <c r="D42" s="6">
        <f>持仓总表!D42-SUMIF(当日交易记录!B:B,B42,当日交易记录!D:D)</f>
        <v/>
      </c>
    </row>
    <row r="43">
      <c r="A43" s="6" t="n">
        <v>42</v>
      </c>
      <c r="B43" s="6">
        <f>VLOOKUP(A43,持仓总表!A:B,2,0)</f>
        <v/>
      </c>
      <c r="C43" s="27">
        <f>(持仓总表!C43*持仓总表!D43-SUMIF(当日交易记录!B:B,B43,当日交易记录!F:F))/D43</f>
        <v/>
      </c>
      <c r="D43" s="6">
        <f>持仓总表!D43-SUMIF(当日交易记录!B:B,B43,当日交易记录!D:D)</f>
        <v/>
      </c>
    </row>
    <row r="44">
      <c r="A44" s="6" t="n">
        <v>43</v>
      </c>
      <c r="B44" s="6">
        <f>VLOOKUP(A44,持仓总表!A:B,2,0)</f>
        <v/>
      </c>
      <c r="C44" s="27">
        <f>(持仓总表!C44*持仓总表!D44-SUMIF(当日交易记录!B:B,B44,当日交易记录!F:F))/D44</f>
        <v/>
      </c>
      <c r="D44" s="6">
        <f>持仓总表!D44-SUMIF(当日交易记录!B:B,B44,当日交易记录!D:D)</f>
        <v/>
      </c>
    </row>
    <row r="45">
      <c r="A45" s="6" t="n">
        <v>44</v>
      </c>
      <c r="B45" s="6">
        <f>VLOOKUP(A45,持仓总表!A:B,2,0)</f>
        <v/>
      </c>
      <c r="C45" s="27">
        <f>(持仓总表!C45*持仓总表!D45-SUMIF(当日交易记录!B:B,B45,当日交易记录!F:F))/D45</f>
        <v/>
      </c>
      <c r="D45" s="6">
        <f>持仓总表!D45-SUMIF(当日交易记录!B:B,B45,当日交易记录!D:D)</f>
        <v/>
      </c>
    </row>
    <row r="46">
      <c r="A46" s="6" t="n">
        <v>45</v>
      </c>
      <c r="B46" s="6">
        <f>VLOOKUP(A46,持仓总表!A:B,2,0)</f>
        <v/>
      </c>
      <c r="C46" s="27">
        <f>(持仓总表!C46*持仓总表!D46-SUMIF(当日交易记录!B:B,B46,当日交易记录!F:F))/D46</f>
        <v/>
      </c>
      <c r="D46" s="6">
        <f>持仓总表!D46-SUMIF(当日交易记录!B:B,B46,当日交易记录!D:D)</f>
        <v/>
      </c>
    </row>
    <row r="47">
      <c r="A47" s="6" t="n">
        <v>46</v>
      </c>
      <c r="B47" s="6">
        <f>VLOOKUP(A47,持仓总表!A:B,2,0)</f>
        <v/>
      </c>
      <c r="C47" s="27">
        <f>(持仓总表!C47*持仓总表!D47-SUMIF(当日交易记录!B:B,B47,当日交易记录!F:F))/D47</f>
        <v/>
      </c>
      <c r="D47" s="6">
        <f>持仓总表!D47-SUMIF(当日交易记录!B:B,B47,当日交易记录!D:D)</f>
        <v/>
      </c>
    </row>
    <row r="48">
      <c r="A48" s="6" t="n">
        <v>47</v>
      </c>
      <c r="B48" s="6">
        <f>VLOOKUP(A48,持仓总表!A:B,2,0)</f>
        <v/>
      </c>
      <c r="C48" s="27">
        <f>(持仓总表!C48*持仓总表!D48-SUMIF(当日交易记录!B:B,B48,当日交易记录!F:F))/D48</f>
        <v/>
      </c>
      <c r="D48" s="6">
        <f>持仓总表!D48-SUMIF(当日交易记录!B:B,B48,当日交易记录!D:D)</f>
        <v/>
      </c>
    </row>
    <row r="49">
      <c r="A49" s="6" t="n">
        <v>48</v>
      </c>
      <c r="B49" s="6">
        <f>VLOOKUP(A49,持仓总表!A:B,2,0)</f>
        <v/>
      </c>
      <c r="C49" s="27">
        <f>(持仓总表!C49*持仓总表!D49-SUMIF(当日交易记录!B:B,B49,当日交易记录!F:F))/D49</f>
        <v/>
      </c>
      <c r="D49" s="6">
        <f>持仓总表!D49-SUMIF(当日交易记录!B:B,B49,当日交易记录!D:D)</f>
        <v/>
      </c>
    </row>
    <row r="50">
      <c r="A50" s="6" t="n">
        <v>49</v>
      </c>
      <c r="B50" s="6">
        <f>VLOOKUP(A50,持仓总表!A:B,2,0)</f>
        <v/>
      </c>
      <c r="C50" s="27">
        <f>(持仓总表!C50*持仓总表!D50-SUMIF(当日交易记录!B:B,B50,当日交易记录!F:F))/D50</f>
        <v/>
      </c>
      <c r="D50" s="6">
        <f>持仓总表!D50-SUMIF(当日交易记录!B:B,B50,当日交易记录!D:D)</f>
        <v/>
      </c>
    </row>
    <row r="51">
      <c r="A51" s="6" t="n">
        <v>50</v>
      </c>
      <c r="B51" s="6">
        <f>VLOOKUP(A51,持仓总表!A:B,2,0)</f>
        <v/>
      </c>
      <c r="C51" s="27">
        <f>(持仓总表!C51*持仓总表!D51-SUMIF(当日交易记录!B:B,B51,当日交易记录!F:F))/D51</f>
        <v/>
      </c>
      <c r="D51" s="6">
        <f>持仓总表!D51-SUMIF(当日交易记录!B:B,B51,当日交易记录!D:D)</f>
        <v/>
      </c>
    </row>
    <row r="52">
      <c r="A52" s="6" t="n">
        <v>51</v>
      </c>
      <c r="B52" s="6">
        <f>VLOOKUP(A52,持仓总表!A:B,2,0)</f>
        <v/>
      </c>
      <c r="C52" s="27">
        <f>(持仓总表!C52*持仓总表!D52-SUMIF(当日交易记录!B:B,B52,当日交易记录!F:F))/D52</f>
        <v/>
      </c>
      <c r="D52" s="6">
        <f>持仓总表!D52-SUMIF(当日交易记录!B:B,B52,当日交易记录!D:D)</f>
        <v/>
      </c>
    </row>
    <row r="53">
      <c r="A53" s="6" t="n">
        <v>52</v>
      </c>
      <c r="B53" s="6">
        <f>VLOOKUP(A53,持仓总表!A:B,2,0)</f>
        <v/>
      </c>
      <c r="C53" s="27">
        <f>(持仓总表!C53*持仓总表!D53-SUMIF(当日交易记录!B:B,B53,当日交易记录!F:F))/D53</f>
        <v/>
      </c>
      <c r="D53" s="6">
        <f>持仓总表!D53-SUMIF(当日交易记录!B:B,B53,当日交易记录!D:D)</f>
        <v/>
      </c>
    </row>
    <row r="54">
      <c r="A54" s="6" t="n">
        <v>53</v>
      </c>
      <c r="B54" s="6">
        <f>VLOOKUP(A54,持仓总表!A:B,2,0)</f>
        <v/>
      </c>
      <c r="C54" s="27">
        <f>(持仓总表!C54*持仓总表!D54-SUMIF(当日交易记录!B:B,B54,当日交易记录!F:F))/D54</f>
        <v/>
      </c>
      <c r="D54" s="6">
        <f>持仓总表!D54-SUMIF(当日交易记录!B:B,B54,当日交易记录!D:D)</f>
        <v/>
      </c>
    </row>
    <row r="55">
      <c r="A55" s="6" t="n">
        <v>54</v>
      </c>
      <c r="B55" s="6">
        <f>VLOOKUP(A55,持仓总表!A:B,2,0)</f>
        <v/>
      </c>
      <c r="C55" s="27">
        <f>(持仓总表!C55*持仓总表!D55-SUMIF(当日交易记录!B:B,B55,当日交易记录!F:F))/D55</f>
        <v/>
      </c>
      <c r="D55" s="6">
        <f>持仓总表!D55-SUMIF(当日交易记录!B:B,B55,当日交易记录!D:D)</f>
        <v/>
      </c>
    </row>
    <row r="56">
      <c r="A56" s="6" t="n">
        <v>55</v>
      </c>
      <c r="B56" s="6">
        <f>VLOOKUP(A56,持仓总表!A:B,2,0)</f>
        <v/>
      </c>
      <c r="C56" s="27">
        <f>(持仓总表!C56*持仓总表!D56-SUMIF(当日交易记录!B:B,B56,当日交易记录!F:F))/D56</f>
        <v/>
      </c>
      <c r="D56" s="6">
        <f>持仓总表!D56-SUMIF(当日交易记录!B:B,B56,当日交易记录!D:D)</f>
        <v/>
      </c>
    </row>
    <row r="57">
      <c r="A57" s="6" t="n">
        <v>56</v>
      </c>
      <c r="B57" s="6">
        <f>VLOOKUP(A57,持仓总表!A:B,2,0)</f>
        <v/>
      </c>
      <c r="C57" s="27">
        <f>(持仓总表!C57*持仓总表!D57-SUMIF(当日交易记录!B:B,B57,当日交易记录!F:F))/D57</f>
        <v/>
      </c>
      <c r="D57" s="6">
        <f>持仓总表!D57-SUMIF(当日交易记录!B:B,B57,当日交易记录!D:D)</f>
        <v/>
      </c>
    </row>
    <row r="58">
      <c r="A58" s="6" t="n">
        <v>57</v>
      </c>
      <c r="B58" s="6">
        <f>VLOOKUP(A58,持仓总表!A:B,2,0)</f>
        <v/>
      </c>
      <c r="C58" s="27">
        <f>(持仓总表!C58*持仓总表!D58-SUMIF(当日交易记录!B:B,B58,当日交易记录!F:F))/D58</f>
        <v/>
      </c>
      <c r="D58" s="6">
        <f>持仓总表!D58-SUMIF(当日交易记录!B:B,B58,当日交易记录!D:D)</f>
        <v/>
      </c>
    </row>
    <row r="59">
      <c r="A59" s="6" t="n">
        <v>58</v>
      </c>
      <c r="B59" s="6">
        <f>VLOOKUP(A59,持仓总表!A:B,2,0)</f>
        <v/>
      </c>
      <c r="C59" s="27">
        <f>(持仓总表!C59*持仓总表!D59-SUMIF(当日交易记录!B:B,B59,当日交易记录!F:F))/D59</f>
        <v/>
      </c>
      <c r="D59" s="6">
        <f>持仓总表!D59-SUMIF(当日交易记录!B:B,B59,当日交易记录!D:D)</f>
        <v/>
      </c>
    </row>
    <row r="60">
      <c r="A60" s="6" t="n">
        <v>59</v>
      </c>
      <c r="B60" s="6">
        <f>VLOOKUP(A60,持仓总表!A:B,2,0)</f>
        <v/>
      </c>
      <c r="C60" s="27">
        <f>(持仓总表!C60*持仓总表!D60-SUMIF(当日交易记录!B:B,B60,当日交易记录!F:F))/D60</f>
        <v/>
      </c>
      <c r="D60" s="6">
        <f>持仓总表!D60-SUMIF(当日交易记录!B:B,B60,当日交易记录!D:D)</f>
        <v/>
      </c>
    </row>
    <row r="61">
      <c r="A61" s="6" t="n">
        <v>60</v>
      </c>
      <c r="B61" s="6">
        <f>VLOOKUP(A61,持仓总表!A:B,2,0)</f>
        <v/>
      </c>
      <c r="C61" s="27">
        <f>(持仓总表!C61*持仓总表!D61-SUMIF(当日交易记录!B:B,B61,当日交易记录!F:F))/D61</f>
        <v/>
      </c>
      <c r="D61" s="6">
        <f>持仓总表!D61-SUMIF(当日交易记录!B:B,B61,当日交易记录!D:D)</f>
        <v/>
      </c>
    </row>
    <row r="62">
      <c r="A62" s="6" t="n">
        <v>61</v>
      </c>
      <c r="B62" s="6">
        <f>VLOOKUP(A62,持仓总表!A:B,2,0)</f>
        <v/>
      </c>
      <c r="C62" s="27">
        <f>(持仓总表!C62*持仓总表!D62-SUMIF(当日交易记录!B:B,B62,当日交易记录!F:F))/D62</f>
        <v/>
      </c>
      <c r="D62" s="6">
        <f>持仓总表!D62-SUMIF(当日交易记录!B:B,B62,当日交易记录!D:D)</f>
        <v/>
      </c>
    </row>
    <row r="63">
      <c r="A63" s="6" t="n">
        <v>62</v>
      </c>
      <c r="B63" s="6">
        <f>VLOOKUP(A63,持仓总表!A:B,2,0)</f>
        <v/>
      </c>
      <c r="C63" s="27">
        <f>(持仓总表!C63*持仓总表!D63-SUMIF(当日交易记录!B:B,B63,当日交易记录!F:F))/D63</f>
        <v/>
      </c>
      <c r="D63" s="6">
        <f>持仓总表!D63-SUMIF(当日交易记录!B:B,B63,当日交易记录!D:D)</f>
        <v/>
      </c>
    </row>
    <row r="64">
      <c r="A64" s="6" t="n">
        <v>63</v>
      </c>
      <c r="B64" s="6">
        <f>VLOOKUP(A64,持仓总表!A:B,2,0)</f>
        <v/>
      </c>
      <c r="C64" s="27">
        <f>(持仓总表!C64*持仓总表!D64-SUMIF(当日交易记录!B:B,B64,当日交易记录!F:F))/D64</f>
        <v/>
      </c>
      <c r="D64" s="6">
        <f>持仓总表!D64-SUMIF(当日交易记录!B:B,B64,当日交易记录!D:D)</f>
        <v/>
      </c>
    </row>
    <row r="65">
      <c r="A65" s="6" t="n">
        <v>64</v>
      </c>
      <c r="B65" s="6">
        <f>VLOOKUP(A65,持仓总表!A:B,2,0)</f>
        <v/>
      </c>
      <c r="C65" s="27">
        <f>(持仓总表!C65*持仓总表!D65-SUMIF(当日交易记录!B:B,B65,当日交易记录!F:F))/D65</f>
        <v/>
      </c>
      <c r="D65" s="6">
        <f>持仓总表!D65-SUMIF(当日交易记录!B:B,B65,当日交易记录!D:D)</f>
        <v/>
      </c>
    </row>
    <row r="66">
      <c r="A66" s="6" t="n">
        <v>65</v>
      </c>
      <c r="B66" s="6">
        <f>VLOOKUP(A66,持仓总表!A:B,2,0)</f>
        <v/>
      </c>
      <c r="C66" s="27">
        <f>(持仓总表!C66*持仓总表!D66-SUMIF(当日交易记录!B:B,B66,当日交易记录!F:F))/D66</f>
        <v/>
      </c>
      <c r="D66" s="6">
        <f>持仓总表!D66-SUMIF(当日交易记录!B:B,B66,当日交易记录!D:D)</f>
        <v/>
      </c>
    </row>
    <row r="67">
      <c r="A67" s="6" t="n">
        <v>66</v>
      </c>
      <c r="B67" s="6">
        <f>VLOOKUP(A67,持仓总表!A:B,2,0)</f>
        <v/>
      </c>
      <c r="C67" s="27">
        <f>(持仓总表!C67*持仓总表!D67-SUMIF(当日交易记录!B:B,B67,当日交易记录!F:F))/D67</f>
        <v/>
      </c>
      <c r="D67" s="6">
        <f>持仓总表!D67-SUMIF(当日交易记录!B:B,B67,当日交易记录!D:D)</f>
        <v/>
      </c>
    </row>
    <row r="68">
      <c r="A68" s="6" t="n">
        <v>67</v>
      </c>
      <c r="B68" s="6">
        <f>VLOOKUP(A68,持仓总表!A:B,2,0)</f>
        <v/>
      </c>
      <c r="C68" s="27">
        <f>(持仓总表!C68*持仓总表!D68-SUMIF(当日交易记录!B:B,B68,当日交易记录!F:F))/D68</f>
        <v/>
      </c>
      <c r="D68" s="6">
        <f>持仓总表!D68-SUMIF(当日交易记录!B:B,B68,当日交易记录!D:D)</f>
        <v/>
      </c>
    </row>
    <row r="69">
      <c r="A69" s="6" t="n">
        <v>68</v>
      </c>
      <c r="B69" s="6">
        <f>VLOOKUP(A69,持仓总表!A:B,2,0)</f>
        <v/>
      </c>
      <c r="C69" s="27">
        <f>(持仓总表!C69*持仓总表!D69-SUMIF(当日交易记录!B:B,B69,当日交易记录!F:F))/D69</f>
        <v/>
      </c>
      <c r="D69" s="6">
        <f>持仓总表!D69-SUMIF(当日交易记录!B:B,B69,当日交易记录!D:D)</f>
        <v/>
      </c>
    </row>
    <row r="70">
      <c r="A70" s="6" t="n">
        <v>69</v>
      </c>
      <c r="B70" s="6">
        <f>VLOOKUP(A70,持仓总表!A:B,2,0)</f>
        <v/>
      </c>
      <c r="C70" s="27">
        <f>(持仓总表!C70*持仓总表!D70-SUMIF(当日交易记录!B:B,B70,当日交易记录!F:F))/D70</f>
        <v/>
      </c>
      <c r="D70" s="6">
        <f>持仓总表!D70-SUMIF(当日交易记录!B:B,B70,当日交易记录!D:D)</f>
        <v/>
      </c>
    </row>
    <row r="71">
      <c r="A71" s="6" t="n">
        <v>70</v>
      </c>
      <c r="B71" s="6">
        <f>VLOOKUP(A71,持仓总表!A:B,2,0)</f>
        <v/>
      </c>
      <c r="C71" s="27">
        <f>(持仓总表!C71*持仓总表!D71-SUMIF(当日交易记录!B:B,B71,当日交易记录!F:F))/D71</f>
        <v/>
      </c>
      <c r="D71" s="6">
        <f>持仓总表!D71-SUMIF(当日交易记录!B:B,B71,当日交易记录!D:D)</f>
        <v/>
      </c>
    </row>
    <row r="72">
      <c r="A72" s="6" t="n">
        <v>71</v>
      </c>
      <c r="B72" s="6">
        <f>VLOOKUP(A72,持仓总表!A:B,2,0)</f>
        <v/>
      </c>
      <c r="C72" s="27">
        <f>(持仓总表!C72*持仓总表!D72-SUMIF(当日交易记录!B:B,B72,当日交易记录!F:F))/D72</f>
        <v/>
      </c>
      <c r="D72" s="6">
        <f>持仓总表!D72-SUMIF(当日交易记录!B:B,B72,当日交易记录!D:D)</f>
        <v/>
      </c>
    </row>
    <row r="73">
      <c r="A73" s="6" t="n">
        <v>72</v>
      </c>
      <c r="B73" s="6">
        <f>VLOOKUP(A73,持仓总表!A:B,2,0)</f>
        <v/>
      </c>
      <c r="C73" s="27">
        <f>(持仓总表!C73*持仓总表!D73-SUMIF(当日交易记录!B:B,B73,当日交易记录!F:F))/D73</f>
        <v/>
      </c>
      <c r="D73" s="6">
        <f>持仓总表!D73-SUMIF(当日交易记录!B:B,B73,当日交易记录!D:D)</f>
        <v/>
      </c>
    </row>
    <row r="74">
      <c r="A74" s="6" t="n">
        <v>73</v>
      </c>
      <c r="B74" s="6">
        <f>VLOOKUP(A74,持仓总表!A:B,2,0)</f>
        <v/>
      </c>
      <c r="C74" s="27">
        <f>(持仓总表!C74*持仓总表!D74-SUMIF(当日交易记录!B:B,B74,当日交易记录!F:F))/D74</f>
        <v/>
      </c>
      <c r="D74" s="6">
        <f>持仓总表!D74-SUMIF(当日交易记录!B:B,B74,当日交易记录!D:D)</f>
        <v/>
      </c>
    </row>
    <row r="75">
      <c r="A75" s="6" t="n">
        <v>74</v>
      </c>
      <c r="B75" s="6">
        <f>VLOOKUP(A75,持仓总表!A:B,2,0)</f>
        <v/>
      </c>
      <c r="C75" s="27">
        <f>(持仓总表!C75*持仓总表!D75-SUMIF(当日交易记录!B:B,B75,当日交易记录!F:F))/D75</f>
        <v/>
      </c>
      <c r="D75" s="6">
        <f>持仓总表!D75-SUMIF(当日交易记录!B:B,B75,当日交易记录!D:D)</f>
        <v/>
      </c>
    </row>
    <row r="76">
      <c r="A76" s="6" t="n">
        <v>75</v>
      </c>
      <c r="B76" s="6">
        <f>VLOOKUP(A76,持仓总表!A:B,2,0)</f>
        <v/>
      </c>
      <c r="C76" s="27">
        <f>(持仓总表!C76*持仓总表!D76-SUMIF(当日交易记录!B:B,B76,当日交易记录!F:F))/D76</f>
        <v/>
      </c>
      <c r="D76" s="6">
        <f>持仓总表!D76-SUMIF(当日交易记录!B:B,B76,当日交易记录!D:D)</f>
        <v/>
      </c>
    </row>
    <row r="77">
      <c r="A77" s="6" t="n">
        <v>76</v>
      </c>
      <c r="B77" s="6">
        <f>VLOOKUP(A77,持仓总表!A:B,2,0)</f>
        <v/>
      </c>
      <c r="C77" s="27">
        <f>(持仓总表!C77*持仓总表!D77-SUMIF(当日交易记录!B:B,B77,当日交易记录!F:F))/D77</f>
        <v/>
      </c>
      <c r="D77" s="6">
        <f>持仓总表!D77-SUMIF(当日交易记录!B:B,B77,当日交易记录!D:D)</f>
        <v/>
      </c>
    </row>
    <row r="78">
      <c r="A78" s="6" t="n">
        <v>77</v>
      </c>
      <c r="B78" s="6">
        <f>VLOOKUP(A78,持仓总表!A:B,2,0)</f>
        <v/>
      </c>
      <c r="C78" s="27">
        <f>(持仓总表!C78*持仓总表!D78-SUMIF(当日交易记录!B:B,B78,当日交易记录!F:F))/D78</f>
        <v/>
      </c>
      <c r="D78" s="6">
        <f>持仓总表!D78-SUMIF(当日交易记录!B:B,B78,当日交易记录!D:D)</f>
        <v/>
      </c>
    </row>
    <row r="79">
      <c r="A79" s="6" t="n">
        <v>78</v>
      </c>
      <c r="B79" s="6">
        <f>VLOOKUP(A79,持仓总表!A:B,2,0)</f>
        <v/>
      </c>
      <c r="C79" s="27">
        <f>(持仓总表!C79*持仓总表!D79-SUMIF(当日交易记录!B:B,B79,当日交易记录!F:F))/D79</f>
        <v/>
      </c>
      <c r="D79" s="6">
        <f>持仓总表!D79-SUMIF(当日交易记录!B:B,B79,当日交易记录!D:D)</f>
        <v/>
      </c>
    </row>
    <row r="80">
      <c r="A80" s="6" t="n">
        <v>79</v>
      </c>
      <c r="B80" s="6">
        <f>VLOOKUP(A80,持仓总表!A:B,2,0)</f>
        <v/>
      </c>
      <c r="C80" s="27">
        <f>(持仓总表!C80*持仓总表!D80-SUMIF(当日交易记录!B:B,B80,当日交易记录!F:F))/D80</f>
        <v/>
      </c>
      <c r="D80" s="6">
        <f>持仓总表!D80-SUMIF(当日交易记录!B:B,B80,当日交易记录!D:D)</f>
        <v/>
      </c>
    </row>
    <row r="81">
      <c r="A81" s="6" t="n">
        <v>80</v>
      </c>
      <c r="B81" s="6">
        <f>VLOOKUP(A81,持仓总表!A:B,2,0)</f>
        <v/>
      </c>
      <c r="C81" s="27">
        <f>(持仓总表!C81*持仓总表!D81-SUMIF(当日交易记录!B:B,B81,当日交易记录!F:F))/D81</f>
        <v/>
      </c>
      <c r="D81" s="6">
        <f>持仓总表!D81-SUMIF(当日交易记录!B:B,B81,当日交易记录!D:D)</f>
        <v/>
      </c>
    </row>
    <row r="82">
      <c r="A82" s="6" t="n">
        <v>81</v>
      </c>
      <c r="B82" s="6">
        <f>VLOOKUP(A82,持仓总表!A:B,2,0)</f>
        <v/>
      </c>
      <c r="C82" s="27">
        <f>(持仓总表!C82*持仓总表!D82-SUMIF(当日交易记录!B:B,B82,当日交易记录!F:F))/D82</f>
        <v/>
      </c>
      <c r="D82" s="6">
        <f>持仓总表!D82-SUMIF(当日交易记录!B:B,B82,当日交易记录!D:D)</f>
        <v/>
      </c>
    </row>
    <row r="83">
      <c r="A83" s="6" t="n">
        <v>82</v>
      </c>
      <c r="B83" s="6">
        <f>VLOOKUP(A83,持仓总表!A:B,2,0)</f>
        <v/>
      </c>
      <c r="C83" s="27">
        <f>(持仓总表!C83*持仓总表!D83-SUMIF(当日交易记录!B:B,B83,当日交易记录!F:F))/D83</f>
        <v/>
      </c>
      <c r="D83" s="6">
        <f>持仓总表!D83-SUMIF(当日交易记录!B:B,B83,当日交易记录!D:D)</f>
        <v/>
      </c>
    </row>
    <row r="84">
      <c r="A84" s="6" t="n">
        <v>83</v>
      </c>
      <c r="B84" s="6">
        <f>VLOOKUP(A84,持仓总表!A:B,2,0)</f>
        <v/>
      </c>
      <c r="C84" s="27">
        <f>(持仓总表!C84*持仓总表!D84-SUMIF(当日交易记录!B:B,B84,当日交易记录!F:F))/D84</f>
        <v/>
      </c>
      <c r="D84" s="6">
        <f>持仓总表!D84-SUMIF(当日交易记录!B:B,B84,当日交易记录!D:D)</f>
        <v/>
      </c>
    </row>
    <row r="85">
      <c r="A85" s="6" t="n">
        <v>84</v>
      </c>
      <c r="B85" s="6">
        <f>VLOOKUP(A85,持仓总表!A:B,2,0)</f>
        <v/>
      </c>
      <c r="C85" s="27">
        <f>(持仓总表!C85*持仓总表!D85-SUMIF(当日交易记录!B:B,B85,当日交易记录!F:F))/D85</f>
        <v/>
      </c>
      <c r="D85" s="6">
        <f>持仓总表!D85-SUMIF(当日交易记录!B:B,B85,当日交易记录!D:D)</f>
        <v/>
      </c>
    </row>
    <row r="86">
      <c r="A86" s="6" t="n">
        <v>85</v>
      </c>
      <c r="B86" s="6">
        <f>VLOOKUP(A86,持仓总表!A:B,2,0)</f>
        <v/>
      </c>
      <c r="C86" s="27">
        <f>(持仓总表!C86*持仓总表!D86-SUMIF(当日交易记录!B:B,B86,当日交易记录!F:F))/D86</f>
        <v/>
      </c>
      <c r="D86" s="6">
        <f>持仓总表!D86-SUMIF(当日交易记录!B:B,B86,当日交易记录!D:D)</f>
        <v/>
      </c>
    </row>
    <row r="87">
      <c r="A87" s="6" t="n">
        <v>86</v>
      </c>
      <c r="B87" s="6">
        <f>VLOOKUP(A87,持仓总表!A:B,2,0)</f>
        <v/>
      </c>
      <c r="C87" s="27">
        <f>(持仓总表!C87*持仓总表!D87-SUMIF(当日交易记录!B:B,B87,当日交易记录!F:F))/D87</f>
        <v/>
      </c>
      <c r="D87" s="6">
        <f>持仓总表!D87-SUMIF(当日交易记录!B:B,B87,当日交易记录!D:D)</f>
        <v/>
      </c>
    </row>
    <row r="88">
      <c r="A88" s="6" t="n">
        <v>87</v>
      </c>
      <c r="B88" s="6">
        <f>VLOOKUP(A88,持仓总表!A:B,2,0)</f>
        <v/>
      </c>
      <c r="C88" s="27">
        <f>(持仓总表!C88*持仓总表!D88-SUMIF(当日交易记录!B:B,B88,当日交易记录!F:F))/D88</f>
        <v/>
      </c>
      <c r="D88" s="6">
        <f>持仓总表!D88-SUMIF(当日交易记录!B:B,B88,当日交易记录!D:D)</f>
        <v/>
      </c>
    </row>
    <row r="89">
      <c r="A89" s="6" t="n">
        <v>88</v>
      </c>
      <c r="B89" s="6">
        <f>VLOOKUP(A89,持仓总表!A:B,2,0)</f>
        <v/>
      </c>
      <c r="C89" s="27">
        <f>(持仓总表!C89*持仓总表!D89-SUMIF(当日交易记录!B:B,B89,当日交易记录!F:F))/D89</f>
        <v/>
      </c>
      <c r="D89" s="6">
        <f>持仓总表!D89-SUMIF(当日交易记录!B:B,B89,当日交易记录!D:D)</f>
        <v/>
      </c>
    </row>
    <row r="90">
      <c r="A90" s="6" t="n">
        <v>89</v>
      </c>
      <c r="B90" s="6">
        <f>VLOOKUP(A90,持仓总表!A:B,2,0)</f>
        <v/>
      </c>
      <c r="C90" s="27">
        <f>(持仓总表!C90*持仓总表!D90-SUMIF(当日交易记录!B:B,B90,当日交易记录!F:F))/D90</f>
        <v/>
      </c>
      <c r="D90" s="6">
        <f>持仓总表!D90-SUMIF(当日交易记录!B:B,B90,当日交易记录!D:D)</f>
        <v/>
      </c>
    </row>
    <row r="91">
      <c r="A91" s="6" t="n">
        <v>90</v>
      </c>
      <c r="B91" s="6">
        <f>VLOOKUP(A91,持仓总表!A:B,2,0)</f>
        <v/>
      </c>
      <c r="C91" s="27">
        <f>(持仓总表!C91*持仓总表!D91-SUMIF(当日交易记录!B:B,B91,当日交易记录!F:F))/D91</f>
        <v/>
      </c>
      <c r="D91" s="6">
        <f>持仓总表!D91-SUMIF(当日交易记录!B:B,B91,当日交易记录!D:D)</f>
        <v/>
      </c>
    </row>
    <row r="92">
      <c r="A92" s="6" t="n">
        <v>91</v>
      </c>
      <c r="B92" s="6">
        <f>VLOOKUP(A92,持仓总表!A:B,2,0)</f>
        <v/>
      </c>
      <c r="C92" s="27">
        <f>(持仓总表!C92*持仓总表!D92-SUMIF(当日交易记录!B:B,B92,当日交易记录!F:F))/D92</f>
        <v/>
      </c>
      <c r="D92" s="6">
        <f>持仓总表!D92-SUMIF(当日交易记录!B:B,B92,当日交易记录!D:D)</f>
        <v/>
      </c>
    </row>
    <row r="93">
      <c r="A93" s="6" t="n">
        <v>92</v>
      </c>
      <c r="B93" s="6">
        <f>VLOOKUP(A93,持仓总表!A:B,2,0)</f>
        <v/>
      </c>
      <c r="C93" s="27">
        <f>(持仓总表!C93*持仓总表!D93-SUMIF(当日交易记录!B:B,B93,当日交易记录!F:F))/D93</f>
        <v/>
      </c>
      <c r="D93" s="6">
        <f>持仓总表!D93-SUMIF(当日交易记录!B:B,B93,当日交易记录!D:D)</f>
        <v/>
      </c>
    </row>
    <row r="94">
      <c r="A94" s="6" t="n">
        <v>93</v>
      </c>
      <c r="B94" s="6">
        <f>VLOOKUP(A94,持仓总表!A:B,2,0)</f>
        <v/>
      </c>
      <c r="C94" s="27">
        <f>(持仓总表!C94*持仓总表!D94-SUMIF(当日交易记录!B:B,B94,当日交易记录!F:F))/D94</f>
        <v/>
      </c>
      <c r="D94" s="6">
        <f>持仓总表!D94-SUMIF(当日交易记录!B:B,B94,当日交易记录!D:D)</f>
        <v/>
      </c>
    </row>
    <row r="95">
      <c r="A95" s="6" t="n">
        <v>94</v>
      </c>
      <c r="B95" s="6">
        <f>VLOOKUP(A95,持仓总表!A:B,2,0)</f>
        <v/>
      </c>
      <c r="C95" s="27">
        <f>(持仓总表!C95*持仓总表!D95-SUMIF(当日交易记录!B:B,B95,当日交易记录!F:F))/D95</f>
        <v/>
      </c>
      <c r="D95" s="6">
        <f>持仓总表!D95-SUMIF(当日交易记录!B:B,B95,当日交易记录!D:D)</f>
        <v/>
      </c>
    </row>
    <row r="96">
      <c r="A96" s="6" t="n">
        <v>95</v>
      </c>
      <c r="B96" s="6">
        <f>VLOOKUP(A96,持仓总表!A:B,2,0)</f>
        <v/>
      </c>
      <c r="C96" s="27">
        <f>(持仓总表!C96*持仓总表!D96-SUMIF(当日交易记录!B:B,B96,当日交易记录!F:F))/D96</f>
        <v/>
      </c>
      <c r="D96" s="6">
        <f>持仓总表!D96-SUMIF(当日交易记录!B:B,B96,当日交易记录!D:D)</f>
        <v/>
      </c>
    </row>
    <row r="97">
      <c r="A97" s="6" t="n">
        <v>96</v>
      </c>
      <c r="B97" s="6">
        <f>VLOOKUP(A97,持仓总表!A:B,2,0)</f>
        <v/>
      </c>
      <c r="C97" s="27">
        <f>(持仓总表!C97*持仓总表!D97-SUMIF(当日交易记录!B:B,B97,当日交易记录!F:F))/D97</f>
        <v/>
      </c>
      <c r="D97" s="6">
        <f>持仓总表!D97-SUMIF(当日交易记录!B:B,B97,当日交易记录!D:D)</f>
        <v/>
      </c>
    </row>
    <row r="98">
      <c r="A98" s="6" t="n">
        <v>97</v>
      </c>
      <c r="B98" s="6">
        <f>VLOOKUP(A98,持仓总表!A:B,2,0)</f>
        <v/>
      </c>
      <c r="C98" s="27">
        <f>(持仓总表!C98*持仓总表!D98-SUMIF(当日交易记录!B:B,B98,当日交易记录!F:F))/D98</f>
        <v/>
      </c>
      <c r="D98" s="6">
        <f>持仓总表!D98-SUMIF(当日交易记录!B:B,B98,当日交易记录!D:D)</f>
        <v/>
      </c>
    </row>
    <row r="99">
      <c r="A99" s="6" t="n">
        <v>98</v>
      </c>
      <c r="B99" s="6">
        <f>VLOOKUP(A99,持仓总表!A:B,2,0)</f>
        <v/>
      </c>
      <c r="C99" s="27">
        <f>(持仓总表!C99*持仓总表!D99-SUMIF(当日交易记录!B:B,B99,当日交易记录!F:F))/D99</f>
        <v/>
      </c>
      <c r="D99" s="6">
        <f>持仓总表!D99-SUMIF(当日交易记录!B:B,B99,当日交易记录!D:D)</f>
        <v/>
      </c>
    </row>
    <row r="100">
      <c r="A100" s="6" t="n">
        <v>99</v>
      </c>
      <c r="B100" s="6">
        <f>VLOOKUP(A100,持仓总表!A:B,2,0)</f>
        <v/>
      </c>
      <c r="C100" s="27">
        <f>(持仓总表!C100*持仓总表!D100-SUMIF(当日交易记录!B:B,B100,当日交易记录!F:F))/D100</f>
        <v/>
      </c>
      <c r="D100" s="6">
        <f>持仓总表!D100-SUMIF(当日交易记录!B:B,B100,当日交易记录!D:D)</f>
        <v/>
      </c>
    </row>
    <row r="101">
      <c r="A101" s="6" t="n">
        <v>100</v>
      </c>
      <c r="B101" s="6">
        <f>VLOOKUP(A101,持仓总表!A:B,2,0)</f>
        <v/>
      </c>
      <c r="C101" s="27">
        <f>(持仓总表!C101*持仓总表!D101-SUMIF(当日交易记录!B:B,B101,当日交易记录!F:F))/D101</f>
        <v/>
      </c>
      <c r="D101" s="6">
        <f>持仓总表!D101-SUMIF(当日交易记录!B:B,B101,当日交易记录!D:D)</f>
        <v/>
      </c>
    </row>
    <row r="102">
      <c r="A102" s="6" t="n">
        <v>101</v>
      </c>
      <c r="B102" s="6">
        <f>VLOOKUP(A102,持仓总表!A:B,2,0)</f>
        <v/>
      </c>
      <c r="C102" s="27">
        <f>(持仓总表!C102*持仓总表!D102-SUMIF(当日交易记录!B:B,B102,当日交易记录!F:F))/D102</f>
        <v/>
      </c>
      <c r="D102" s="6">
        <f>持仓总表!D102-SUMIF(当日交易记录!B:B,B102,当日交易记录!D:D)</f>
        <v/>
      </c>
    </row>
    <row r="103">
      <c r="A103" s="6" t="n">
        <v>102</v>
      </c>
      <c r="B103" s="6">
        <f>VLOOKUP(A103,持仓总表!A:B,2,0)</f>
        <v/>
      </c>
      <c r="C103" s="27">
        <f>(持仓总表!C103*持仓总表!D103-SUMIF(当日交易记录!B:B,B103,当日交易记录!F:F))/D103</f>
        <v/>
      </c>
      <c r="D103" s="6">
        <f>持仓总表!D103-SUMIF(当日交易记录!B:B,B103,当日交易记录!D:D)</f>
        <v/>
      </c>
    </row>
    <row r="104">
      <c r="A104" s="6" t="n">
        <v>103</v>
      </c>
      <c r="B104" s="6">
        <f>VLOOKUP(A104,持仓总表!A:B,2,0)</f>
        <v/>
      </c>
      <c r="C104" s="27">
        <f>(持仓总表!C104*持仓总表!D104-SUMIF(当日交易记录!B:B,B104,当日交易记录!F:F))/D104</f>
        <v/>
      </c>
      <c r="D104" s="6">
        <f>持仓总表!D104-SUMIF(当日交易记录!B:B,B104,当日交易记录!D:D)</f>
        <v/>
      </c>
    </row>
    <row r="105">
      <c r="A105" s="6" t="n">
        <v>104</v>
      </c>
      <c r="B105" s="6">
        <f>VLOOKUP(A105,持仓总表!A:B,2,0)</f>
        <v/>
      </c>
      <c r="C105" s="27">
        <f>(持仓总表!C105*持仓总表!D105-SUMIF(当日交易记录!B:B,B105,当日交易记录!F:F))/D105</f>
        <v/>
      </c>
      <c r="D105" s="6">
        <f>持仓总表!D105-SUMIF(当日交易记录!B:B,B105,当日交易记录!D:D)</f>
        <v/>
      </c>
    </row>
    <row r="106">
      <c r="A106" s="6" t="n">
        <v>105</v>
      </c>
      <c r="B106" s="6">
        <f>VLOOKUP(A106,持仓总表!A:B,2,0)</f>
        <v/>
      </c>
      <c r="C106" s="27">
        <f>(持仓总表!C106*持仓总表!D106-SUMIF(当日交易记录!B:B,B106,当日交易记录!F:F))/D106</f>
        <v/>
      </c>
      <c r="D106" s="6">
        <f>持仓总表!D106-SUMIF(当日交易记录!B:B,B106,当日交易记录!D:D)</f>
        <v/>
      </c>
    </row>
    <row r="107">
      <c r="A107" s="6" t="n">
        <v>106</v>
      </c>
      <c r="B107" s="6">
        <f>VLOOKUP(A107,持仓总表!A:B,2,0)</f>
        <v/>
      </c>
      <c r="C107" s="27">
        <f>(持仓总表!C107*持仓总表!D107-SUMIF(当日交易记录!B:B,B107,当日交易记录!F:F))/D107</f>
        <v/>
      </c>
      <c r="D107" s="6">
        <f>持仓总表!D107-SUMIF(当日交易记录!B:B,B107,当日交易记录!D:D)</f>
        <v/>
      </c>
    </row>
    <row r="108">
      <c r="A108" s="6" t="n">
        <v>107</v>
      </c>
      <c r="B108" s="6">
        <f>VLOOKUP(A108,持仓总表!A:B,2,0)</f>
        <v/>
      </c>
      <c r="C108" s="27">
        <f>(持仓总表!C108*持仓总表!D108-SUMIF(当日交易记录!B:B,B108,当日交易记录!F:F))/D108</f>
        <v/>
      </c>
      <c r="D108" s="6">
        <f>持仓总表!D108-SUMIF(当日交易记录!B:B,B108,当日交易记录!D:D)</f>
        <v/>
      </c>
    </row>
    <row r="109">
      <c r="A109" s="6" t="n">
        <v>108</v>
      </c>
      <c r="B109" s="6">
        <f>VLOOKUP(A109,持仓总表!A:B,2,0)</f>
        <v/>
      </c>
      <c r="C109" s="27">
        <f>(持仓总表!C109*持仓总表!D109-SUMIF(当日交易记录!B:B,B109,当日交易记录!F:F))/D109</f>
        <v/>
      </c>
      <c r="D109" s="6">
        <f>持仓总表!D109-SUMIF(当日交易记录!B:B,B109,当日交易记录!D:D)</f>
        <v/>
      </c>
    </row>
    <row r="110">
      <c r="A110" s="6" t="n">
        <v>109</v>
      </c>
      <c r="B110" s="6">
        <f>VLOOKUP(A110,持仓总表!A:B,2,0)</f>
        <v/>
      </c>
      <c r="C110" s="27">
        <f>(持仓总表!C110*持仓总表!D110-SUMIF(当日交易记录!B:B,B110,当日交易记录!F:F))/D110</f>
        <v/>
      </c>
      <c r="D110" s="6">
        <f>持仓总表!D110-SUMIF(当日交易记录!B:B,B110,当日交易记录!D:D)</f>
        <v/>
      </c>
    </row>
    <row r="111">
      <c r="A111" s="6" t="n">
        <v>110</v>
      </c>
      <c r="B111" s="6">
        <f>VLOOKUP(A111,持仓总表!A:B,2,0)</f>
        <v/>
      </c>
      <c r="C111" s="27">
        <f>(持仓总表!C111*持仓总表!D111-SUMIF(当日交易记录!B:B,B111,当日交易记录!F:F))/D111</f>
        <v/>
      </c>
      <c r="D111" s="6">
        <f>持仓总表!D111-SUMIF(当日交易记录!B:B,B111,当日交易记录!D:D)</f>
        <v/>
      </c>
    </row>
    <row r="112">
      <c r="A112" s="6" t="n">
        <v>111</v>
      </c>
      <c r="B112" s="6">
        <f>VLOOKUP(A112,持仓总表!A:B,2,0)</f>
        <v/>
      </c>
      <c r="C112" s="27">
        <f>(持仓总表!C112*持仓总表!D112-SUMIF(当日交易记录!B:B,B112,当日交易记录!F:F))/D112</f>
        <v/>
      </c>
      <c r="D112" s="6">
        <f>持仓总表!D112-SUMIF(当日交易记录!B:B,B112,当日交易记录!D:D)</f>
        <v/>
      </c>
    </row>
    <row r="113">
      <c r="A113" s="6" t="n">
        <v>112</v>
      </c>
      <c r="B113" s="6">
        <f>VLOOKUP(A113,持仓总表!A:B,2,0)</f>
        <v/>
      </c>
      <c r="C113" s="27">
        <f>(持仓总表!C113*持仓总表!D113-SUMIF(当日交易记录!B:B,B113,当日交易记录!F:F))/D113</f>
        <v/>
      </c>
      <c r="D113" s="6">
        <f>持仓总表!D113-SUMIF(当日交易记录!B:B,B113,当日交易记录!D:D)</f>
        <v/>
      </c>
    </row>
    <row r="114">
      <c r="A114" s="6" t="n">
        <v>113</v>
      </c>
      <c r="B114" s="6">
        <f>VLOOKUP(A114,持仓总表!A:B,2,0)</f>
        <v/>
      </c>
      <c r="C114" s="27">
        <f>(持仓总表!C114*持仓总表!D114-SUMIF(当日交易记录!B:B,B114,当日交易记录!F:F))/D114</f>
        <v/>
      </c>
      <c r="D114" s="6">
        <f>持仓总表!D114-SUMIF(当日交易记录!B:B,B114,当日交易记录!D:D)</f>
        <v/>
      </c>
    </row>
    <row r="115">
      <c r="A115" s="6" t="n">
        <v>114</v>
      </c>
      <c r="B115" s="6">
        <f>VLOOKUP(A115,持仓总表!A:B,2,0)</f>
        <v/>
      </c>
      <c r="C115" s="27">
        <f>(持仓总表!C115*持仓总表!D115-SUMIF(当日交易记录!B:B,B115,当日交易记录!F:F))/D115</f>
        <v/>
      </c>
      <c r="D115" s="6">
        <f>持仓总表!D115-SUMIF(当日交易记录!B:B,B115,当日交易记录!D:D)</f>
        <v/>
      </c>
    </row>
    <row r="116">
      <c r="A116" s="6" t="n">
        <v>115</v>
      </c>
      <c r="B116" s="6">
        <f>VLOOKUP(A116,持仓总表!A:B,2,0)</f>
        <v/>
      </c>
      <c r="C116" s="27">
        <f>(持仓总表!C116*持仓总表!D116-SUMIF(当日交易记录!B:B,B116,当日交易记录!F:F))/D116</f>
        <v/>
      </c>
      <c r="D116" s="6">
        <f>持仓总表!D116-SUMIF(当日交易记录!B:B,B116,当日交易记录!D:D)</f>
        <v/>
      </c>
    </row>
    <row r="117">
      <c r="A117" s="6" t="n">
        <v>116</v>
      </c>
      <c r="B117" s="6">
        <f>VLOOKUP(A117,持仓总表!A:B,2,0)</f>
        <v/>
      </c>
      <c r="C117" s="27">
        <f>(持仓总表!C117*持仓总表!D117-SUMIF(当日交易记录!B:B,B117,当日交易记录!F:F))/D117</f>
        <v/>
      </c>
      <c r="D117" s="6">
        <f>持仓总表!D117-SUMIF(当日交易记录!B:B,B117,当日交易记录!D:D)</f>
        <v/>
      </c>
    </row>
    <row r="118">
      <c r="A118" s="6" t="n">
        <v>117</v>
      </c>
      <c r="B118" s="6">
        <f>VLOOKUP(A118,持仓总表!A:B,2,0)</f>
        <v/>
      </c>
      <c r="C118" s="27">
        <f>(持仓总表!C118*持仓总表!D118-SUMIF(当日交易记录!B:B,B118,当日交易记录!F:F))/D118</f>
        <v/>
      </c>
      <c r="D118" s="6">
        <f>持仓总表!D118-SUMIF(当日交易记录!B:B,B118,当日交易记录!D:D)</f>
        <v/>
      </c>
    </row>
    <row r="119">
      <c r="A119" s="6" t="n">
        <v>118</v>
      </c>
      <c r="B119" s="6">
        <f>VLOOKUP(A119,持仓总表!A:B,2,0)</f>
        <v/>
      </c>
      <c r="C119" s="27">
        <f>(持仓总表!C119*持仓总表!D119-SUMIF(当日交易记录!B:B,B119,当日交易记录!F:F))/D119</f>
        <v/>
      </c>
      <c r="D119" s="6">
        <f>持仓总表!D119-SUMIF(当日交易记录!B:B,B119,当日交易记录!D:D)</f>
        <v/>
      </c>
    </row>
    <row r="120">
      <c r="A120" s="6" t="n">
        <v>119</v>
      </c>
      <c r="B120" s="6">
        <f>VLOOKUP(A120,持仓总表!A:B,2,0)</f>
        <v/>
      </c>
      <c r="C120" s="27">
        <f>(持仓总表!C120*持仓总表!D120-SUMIF(当日交易记录!B:B,B120,当日交易记录!F:F))/D120</f>
        <v/>
      </c>
      <c r="D120" s="6">
        <f>持仓总表!D120-SUMIF(当日交易记录!B:B,B120,当日交易记录!D:D)</f>
        <v/>
      </c>
    </row>
    <row r="121">
      <c r="A121" s="6" t="n">
        <v>120</v>
      </c>
      <c r="B121" s="6">
        <f>VLOOKUP(A121,持仓总表!A:B,2,0)</f>
        <v/>
      </c>
      <c r="C121" s="27">
        <f>(持仓总表!C121*持仓总表!D121-SUMIF(当日交易记录!B:B,B121,当日交易记录!F:F))/D121</f>
        <v/>
      </c>
      <c r="D121" s="6">
        <f>持仓总表!D121-SUMIF(当日交易记录!B:B,B121,当日交易记录!D:D)</f>
        <v/>
      </c>
    </row>
    <row r="122">
      <c r="A122" s="6" t="n">
        <v>121</v>
      </c>
      <c r="B122" s="6">
        <f>VLOOKUP(A122,持仓总表!A:B,2,0)</f>
        <v/>
      </c>
      <c r="C122" s="27">
        <f>(持仓总表!C122*持仓总表!D122-SUMIF(当日交易记录!B:B,B122,当日交易记录!F:F))/D122</f>
        <v/>
      </c>
      <c r="D122" s="6">
        <f>持仓总表!D122-SUMIF(当日交易记录!B:B,B122,当日交易记录!D:D)</f>
        <v/>
      </c>
    </row>
    <row r="123">
      <c r="A123" s="6" t="n">
        <v>122</v>
      </c>
      <c r="B123" s="6">
        <f>VLOOKUP(A123,持仓总表!A:B,2,0)</f>
        <v/>
      </c>
      <c r="C123" s="27">
        <f>(持仓总表!C123*持仓总表!D123-SUMIF(当日交易记录!B:B,B123,当日交易记录!F:F))/D123</f>
        <v/>
      </c>
      <c r="D123" s="6">
        <f>持仓总表!D123-SUMIF(当日交易记录!B:B,B123,当日交易记录!D:D)</f>
        <v/>
      </c>
    </row>
    <row r="124">
      <c r="A124" s="6" t="n">
        <v>123</v>
      </c>
      <c r="B124" s="6">
        <f>VLOOKUP(A124,持仓总表!A:B,2,0)</f>
        <v/>
      </c>
      <c r="C124" s="27">
        <f>(持仓总表!C124*持仓总表!D124-SUMIF(当日交易记录!B:B,B124,当日交易记录!F:F))/D124</f>
        <v/>
      </c>
      <c r="D124" s="6">
        <f>持仓总表!D124-SUMIF(当日交易记录!B:B,B124,当日交易记录!D:D)</f>
        <v/>
      </c>
    </row>
    <row r="125">
      <c r="A125" s="6" t="n">
        <v>124</v>
      </c>
      <c r="B125" s="6">
        <f>VLOOKUP(A125,持仓总表!A:B,2,0)</f>
        <v/>
      </c>
      <c r="C125" s="27">
        <f>(持仓总表!C125*持仓总表!D125-SUMIF(当日交易记录!B:B,B125,当日交易记录!F:F))/D125</f>
        <v/>
      </c>
      <c r="D125" s="6">
        <f>持仓总表!D125-SUMIF(当日交易记录!B:B,B125,当日交易记录!D:D)</f>
        <v/>
      </c>
    </row>
    <row r="126">
      <c r="A126" s="6" t="n">
        <v>125</v>
      </c>
      <c r="B126" s="6">
        <f>VLOOKUP(A126,持仓总表!A:B,2,0)</f>
        <v/>
      </c>
      <c r="C126" s="27">
        <f>(持仓总表!C126*持仓总表!D126-SUMIF(当日交易记录!B:B,B126,当日交易记录!F:F))/D126</f>
        <v/>
      </c>
      <c r="D126" s="6">
        <f>持仓总表!D126-SUMIF(当日交易记录!B:B,B126,当日交易记录!D:D)</f>
        <v/>
      </c>
    </row>
    <row r="127">
      <c r="A127" s="6" t="n">
        <v>126</v>
      </c>
      <c r="B127" s="6">
        <f>VLOOKUP(A127,持仓总表!A:B,2,0)</f>
        <v/>
      </c>
      <c r="C127" s="27">
        <f>(持仓总表!C127*持仓总表!D127-SUMIF(当日交易记录!B:B,B127,当日交易记录!F:F))/D127</f>
        <v/>
      </c>
      <c r="D127" s="6">
        <f>持仓总表!D127-SUMIF(当日交易记录!B:B,B127,当日交易记录!D:D)</f>
        <v/>
      </c>
    </row>
    <row r="128">
      <c r="A128" s="6" t="n">
        <v>127</v>
      </c>
      <c r="B128" s="6">
        <f>VLOOKUP(A128,持仓总表!A:B,2,0)</f>
        <v/>
      </c>
      <c r="C128" s="27">
        <f>(持仓总表!C128*持仓总表!D128-SUMIF(当日交易记录!B:B,B128,当日交易记录!F:F))/D128</f>
        <v/>
      </c>
      <c r="D128" s="6">
        <f>持仓总表!D128-SUMIF(当日交易记录!B:B,B128,当日交易记录!D:D)</f>
        <v/>
      </c>
    </row>
    <row r="129">
      <c r="A129" s="6" t="n">
        <v>128</v>
      </c>
      <c r="B129" s="6">
        <f>VLOOKUP(A129,持仓总表!A:B,2,0)</f>
        <v/>
      </c>
      <c r="C129" s="27">
        <f>(持仓总表!C129*持仓总表!D129-SUMIF(当日交易记录!B:B,B129,当日交易记录!F:F))/D129</f>
        <v/>
      </c>
      <c r="D129" s="6">
        <f>持仓总表!D129-SUMIF(当日交易记录!B:B,B129,当日交易记录!D:D)</f>
        <v/>
      </c>
    </row>
    <row r="130">
      <c r="A130" s="6" t="n">
        <v>129</v>
      </c>
      <c r="B130" s="6">
        <f>VLOOKUP(A130,持仓总表!A:B,2,0)</f>
        <v/>
      </c>
      <c r="C130" s="27">
        <f>(持仓总表!C130*持仓总表!D130-SUMIF(当日交易记录!B:B,B130,当日交易记录!F:F))/D130</f>
        <v/>
      </c>
      <c r="D130" s="6">
        <f>持仓总表!D130-SUMIF(当日交易记录!B:B,B130,当日交易记录!D:D)</f>
        <v/>
      </c>
    </row>
    <row r="131">
      <c r="A131" s="6" t="n">
        <v>130</v>
      </c>
      <c r="B131" s="6">
        <f>VLOOKUP(A131,持仓总表!A:B,2,0)</f>
        <v/>
      </c>
      <c r="C131" s="27">
        <f>(持仓总表!C131*持仓总表!D131-SUMIF(当日交易记录!B:B,B131,当日交易记录!F:F))/D131</f>
        <v/>
      </c>
      <c r="D131" s="6">
        <f>持仓总表!D131-SUMIF(当日交易记录!B:B,B131,当日交易记录!D:D)</f>
        <v/>
      </c>
    </row>
    <row r="132">
      <c r="A132" s="6" t="n">
        <v>131</v>
      </c>
      <c r="B132" s="6">
        <f>VLOOKUP(A132,持仓总表!A:B,2,0)</f>
        <v/>
      </c>
      <c r="C132" s="27">
        <f>(持仓总表!C132*持仓总表!D132-SUMIF(当日交易记录!B:B,B132,当日交易记录!F:F))/D132</f>
        <v/>
      </c>
      <c r="D132" s="6">
        <f>持仓总表!D132-SUMIF(当日交易记录!B:B,B132,当日交易记录!D:D)</f>
        <v/>
      </c>
    </row>
    <row r="133">
      <c r="A133" s="6" t="n">
        <v>132</v>
      </c>
      <c r="B133" s="6">
        <f>VLOOKUP(A133,持仓总表!A:B,2,0)</f>
        <v/>
      </c>
      <c r="C133" s="27">
        <f>(持仓总表!C133*持仓总表!D133-SUMIF(当日交易记录!B:B,B133,当日交易记录!F:F))/D133</f>
        <v/>
      </c>
      <c r="D133" s="6">
        <f>持仓总表!D133-SUMIF(当日交易记录!B:B,B133,当日交易记录!D:D)</f>
        <v/>
      </c>
    </row>
    <row r="134">
      <c r="A134" s="6" t="n">
        <v>133</v>
      </c>
      <c r="B134" s="6">
        <f>VLOOKUP(A134,持仓总表!A:B,2,0)</f>
        <v/>
      </c>
      <c r="C134" s="27">
        <f>(持仓总表!C134*持仓总表!D134-SUMIF(当日交易记录!B:B,B134,当日交易记录!F:F))/D134</f>
        <v/>
      </c>
      <c r="D134" s="6">
        <f>持仓总表!D134-SUMIF(当日交易记录!B:B,B134,当日交易记录!D:D)</f>
        <v/>
      </c>
    </row>
    <row r="135">
      <c r="A135" s="6" t="n">
        <v>134</v>
      </c>
      <c r="B135" s="6">
        <f>VLOOKUP(A135,持仓总表!A:B,2,0)</f>
        <v/>
      </c>
      <c r="C135" s="27">
        <f>(持仓总表!C135*持仓总表!D135-SUMIF(当日交易记录!B:B,B135,当日交易记录!F:F))/D135</f>
        <v/>
      </c>
      <c r="D135" s="6">
        <f>持仓总表!D135-SUMIF(当日交易记录!B:B,B135,当日交易记录!D:D)</f>
        <v/>
      </c>
    </row>
    <row r="136">
      <c r="A136" s="6" t="n">
        <v>135</v>
      </c>
      <c r="B136" s="6">
        <f>VLOOKUP(A136,持仓总表!A:B,2,0)</f>
        <v/>
      </c>
      <c r="C136" s="27">
        <f>(持仓总表!C136*持仓总表!D136-SUMIF(当日交易记录!B:B,B136,当日交易记录!F:F))/D136</f>
        <v/>
      </c>
      <c r="D136" s="6">
        <f>持仓总表!D136-SUMIF(当日交易记录!B:B,B136,当日交易记录!D:D)</f>
        <v/>
      </c>
    </row>
    <row r="137">
      <c r="A137" s="6" t="n">
        <v>136</v>
      </c>
      <c r="B137" s="6">
        <f>VLOOKUP(A137,持仓总表!A:B,2,0)</f>
        <v/>
      </c>
      <c r="C137" s="27">
        <f>(持仓总表!C137*持仓总表!D137-SUMIF(当日交易记录!B:B,B137,当日交易记录!F:F))/D137</f>
        <v/>
      </c>
      <c r="D137" s="6">
        <f>持仓总表!D137-SUMIF(当日交易记录!B:B,B137,当日交易记录!D:D)</f>
        <v/>
      </c>
    </row>
    <row r="138">
      <c r="A138" s="6" t="n">
        <v>137</v>
      </c>
      <c r="B138" s="6">
        <f>VLOOKUP(A138,持仓总表!A:B,2,0)</f>
        <v/>
      </c>
      <c r="C138" s="27">
        <f>(持仓总表!C138*持仓总表!D138-SUMIF(当日交易记录!B:B,B138,当日交易记录!F:F))/D138</f>
        <v/>
      </c>
      <c r="D138" s="6">
        <f>持仓总表!D138-SUMIF(当日交易记录!B:B,B138,当日交易记录!D:D)</f>
        <v/>
      </c>
    </row>
    <row r="139">
      <c r="A139" s="6" t="n">
        <v>138</v>
      </c>
      <c r="B139" s="6">
        <f>VLOOKUP(A139,持仓总表!A:B,2,0)</f>
        <v/>
      </c>
      <c r="C139" s="27">
        <f>(持仓总表!C139*持仓总表!D139-SUMIF(当日交易记录!B:B,B139,当日交易记录!F:F))/D139</f>
        <v/>
      </c>
      <c r="D139" s="6">
        <f>持仓总表!D139-SUMIF(当日交易记录!B:B,B139,当日交易记录!D:D)</f>
        <v/>
      </c>
    </row>
    <row r="140">
      <c r="A140" s="6" t="n">
        <v>139</v>
      </c>
      <c r="B140" s="6">
        <f>VLOOKUP(A140,持仓总表!A:B,2,0)</f>
        <v/>
      </c>
      <c r="C140" s="27">
        <f>(持仓总表!C140*持仓总表!D140-SUMIF(当日交易记录!B:B,B140,当日交易记录!F:F))/D140</f>
        <v/>
      </c>
      <c r="D140" s="6">
        <f>持仓总表!D140-SUMIF(当日交易记录!B:B,B140,当日交易记录!D:D)</f>
        <v/>
      </c>
    </row>
    <row r="141">
      <c r="A141" s="6" t="n">
        <v>140</v>
      </c>
      <c r="B141" s="6">
        <f>VLOOKUP(A141,持仓总表!A:B,2,0)</f>
        <v/>
      </c>
      <c r="C141" s="27">
        <f>(持仓总表!C141*持仓总表!D141-SUMIF(当日交易记录!B:B,B141,当日交易记录!F:F))/D141</f>
        <v/>
      </c>
      <c r="D141" s="6">
        <f>持仓总表!D141-SUMIF(当日交易记录!B:B,B141,当日交易记录!D:D)</f>
        <v/>
      </c>
    </row>
    <row r="142">
      <c r="A142" s="6" t="n">
        <v>141</v>
      </c>
      <c r="B142" s="6">
        <f>VLOOKUP(A142,持仓总表!A:B,2,0)</f>
        <v/>
      </c>
      <c r="C142" s="27">
        <f>(持仓总表!C142*持仓总表!D142-SUMIF(当日交易记录!B:B,B142,当日交易记录!F:F))/D142</f>
        <v/>
      </c>
      <c r="D142" s="6">
        <f>持仓总表!D142-SUMIF(当日交易记录!B:B,B142,当日交易记录!D:D)</f>
        <v/>
      </c>
    </row>
    <row r="143">
      <c r="A143" s="6" t="n">
        <v>142</v>
      </c>
      <c r="B143" s="6">
        <f>VLOOKUP(A143,持仓总表!A:B,2,0)</f>
        <v/>
      </c>
      <c r="C143" s="27">
        <f>(持仓总表!C143*持仓总表!D143-SUMIF(当日交易记录!B:B,B143,当日交易记录!F:F))/D143</f>
        <v/>
      </c>
      <c r="D143" s="6">
        <f>持仓总表!D143-SUMIF(当日交易记录!B:B,B143,当日交易记录!D:D)</f>
        <v/>
      </c>
    </row>
    <row r="144">
      <c r="A144" s="6" t="n">
        <v>143</v>
      </c>
      <c r="B144" s="6">
        <f>VLOOKUP(A144,持仓总表!A:B,2,0)</f>
        <v/>
      </c>
      <c r="C144" s="27">
        <f>(持仓总表!C144*持仓总表!D144-SUMIF(当日交易记录!B:B,B144,当日交易记录!F:F))/D144</f>
        <v/>
      </c>
      <c r="D144" s="6">
        <f>持仓总表!D144-SUMIF(当日交易记录!B:B,B144,当日交易记录!D:D)</f>
        <v/>
      </c>
    </row>
    <row r="145">
      <c r="A145" s="6" t="n">
        <v>144</v>
      </c>
      <c r="B145" s="6">
        <f>VLOOKUP(A145,持仓总表!A:B,2,0)</f>
        <v/>
      </c>
      <c r="C145" s="27">
        <f>(持仓总表!C145*持仓总表!D145-SUMIF(当日交易记录!B:B,B145,当日交易记录!F:F))/D145</f>
        <v/>
      </c>
      <c r="D145" s="6">
        <f>持仓总表!D145-SUMIF(当日交易记录!B:B,B145,当日交易记录!D:D)</f>
        <v/>
      </c>
    </row>
    <row r="146">
      <c r="A146" s="6" t="n">
        <v>145</v>
      </c>
      <c r="B146" s="6">
        <f>VLOOKUP(A146,持仓总表!A:B,2,0)</f>
        <v/>
      </c>
      <c r="C146" s="27">
        <f>(持仓总表!C146*持仓总表!D146-SUMIF(当日交易记录!B:B,B146,当日交易记录!F:F))/D146</f>
        <v/>
      </c>
      <c r="D146" s="6">
        <f>持仓总表!D146-SUMIF(当日交易记录!B:B,B146,当日交易记录!D:D)</f>
        <v/>
      </c>
    </row>
    <row r="147">
      <c r="A147" s="6" t="n">
        <v>146</v>
      </c>
      <c r="B147" s="6">
        <f>VLOOKUP(A147,持仓总表!A:B,2,0)</f>
        <v/>
      </c>
      <c r="C147" s="27">
        <f>(持仓总表!C147*持仓总表!D147-SUMIF(当日交易记录!B:B,B147,当日交易记录!F:F))/D147</f>
        <v/>
      </c>
      <c r="D147" s="6">
        <f>持仓总表!D147-SUMIF(当日交易记录!B:B,B147,当日交易记录!D:D)</f>
        <v/>
      </c>
    </row>
    <row r="148">
      <c r="A148" s="6" t="n">
        <v>147</v>
      </c>
      <c r="B148" s="6">
        <f>VLOOKUP(A148,持仓总表!A:B,2,0)</f>
        <v/>
      </c>
      <c r="C148" s="27">
        <f>(持仓总表!C148*持仓总表!D148-SUMIF(当日交易记录!B:B,B148,当日交易记录!F:F))/D148</f>
        <v/>
      </c>
      <c r="D148" s="6">
        <f>持仓总表!D148-SUMIF(当日交易记录!B:B,B148,当日交易记录!D:D)</f>
        <v/>
      </c>
    </row>
    <row r="149">
      <c r="A149" s="6" t="n">
        <v>148</v>
      </c>
      <c r="B149" s="6">
        <f>VLOOKUP(A149,持仓总表!A:B,2,0)</f>
        <v/>
      </c>
      <c r="C149" s="27">
        <f>(持仓总表!C149*持仓总表!D149-SUMIF(当日交易记录!B:B,B149,当日交易记录!F:F))/D149</f>
        <v/>
      </c>
      <c r="D149" s="6">
        <f>持仓总表!D149-SUMIF(当日交易记录!B:B,B149,当日交易记录!D:D)</f>
        <v/>
      </c>
    </row>
    <row r="150">
      <c r="A150" s="6" t="n">
        <v>149</v>
      </c>
      <c r="B150" s="6">
        <f>VLOOKUP(A150,持仓总表!A:B,2,0)</f>
        <v/>
      </c>
      <c r="C150" s="27">
        <f>(持仓总表!C150*持仓总表!D150-SUMIF(当日交易记录!B:B,B150,当日交易记录!F:F))/D150</f>
        <v/>
      </c>
      <c r="D150" s="6">
        <f>持仓总表!D150-SUMIF(当日交易记录!B:B,B150,当日交易记录!D:D)</f>
        <v/>
      </c>
    </row>
    <row r="151">
      <c r="A151" s="6" t="n">
        <v>150</v>
      </c>
      <c r="B151" s="6">
        <f>VLOOKUP(A151,持仓总表!A:B,2,0)</f>
        <v/>
      </c>
      <c r="C151" s="27">
        <f>(持仓总表!C151*持仓总表!D151-SUMIF(当日交易记录!B:B,B151,当日交易记录!F:F))/D151</f>
        <v/>
      </c>
      <c r="D151" s="6">
        <f>持仓总表!D151-SUMIF(当日交易记录!B:B,B151,当日交易记录!D:D)</f>
        <v/>
      </c>
    </row>
    <row r="152">
      <c r="A152" s="6" t="n">
        <v>151</v>
      </c>
      <c r="B152" s="6">
        <f>VLOOKUP(A152,持仓总表!A:B,2,0)</f>
        <v/>
      </c>
      <c r="C152" s="27">
        <f>(持仓总表!C152*持仓总表!D152-SUMIF(当日交易记录!B:B,B152,当日交易记录!F:F))/D152</f>
        <v/>
      </c>
      <c r="D152" s="6">
        <f>持仓总表!D152-SUMIF(当日交易记录!B:B,B152,当日交易记录!D:D)</f>
        <v/>
      </c>
    </row>
    <row r="153">
      <c r="A153" s="6" t="n">
        <v>152</v>
      </c>
      <c r="B153" s="6">
        <f>VLOOKUP(A153,持仓总表!A:B,2,0)</f>
        <v/>
      </c>
      <c r="C153" s="27">
        <f>(持仓总表!C153*持仓总表!D153-SUMIF(当日交易记录!B:B,B153,当日交易记录!F:F))/D153</f>
        <v/>
      </c>
      <c r="D153" s="6">
        <f>持仓总表!D153-SUMIF(当日交易记录!B:B,B153,当日交易记录!D:D)</f>
        <v/>
      </c>
    </row>
    <row r="154">
      <c r="A154" s="6" t="n">
        <v>153</v>
      </c>
      <c r="B154" s="6">
        <f>VLOOKUP(A154,持仓总表!A:B,2,0)</f>
        <v/>
      </c>
      <c r="C154" s="27">
        <f>(持仓总表!C154*持仓总表!D154-SUMIF(当日交易记录!B:B,B154,当日交易记录!F:F))/D154</f>
        <v/>
      </c>
      <c r="D154" s="6">
        <f>持仓总表!D154-SUMIF(当日交易记录!B:B,B154,当日交易记录!D:D)</f>
        <v/>
      </c>
    </row>
    <row r="155">
      <c r="A155" s="6" t="n">
        <v>154</v>
      </c>
      <c r="B155" s="6">
        <f>VLOOKUP(A155,持仓总表!A:B,2,0)</f>
        <v/>
      </c>
      <c r="C155" s="27">
        <f>(持仓总表!C155*持仓总表!D155-SUMIF(当日交易记录!B:B,B155,当日交易记录!F:F))/D155</f>
        <v/>
      </c>
      <c r="D155" s="6">
        <f>持仓总表!D155-SUMIF(当日交易记录!B:B,B155,当日交易记录!D:D)</f>
        <v/>
      </c>
    </row>
    <row r="156">
      <c r="A156" s="6" t="n">
        <v>155</v>
      </c>
      <c r="B156" s="6">
        <f>VLOOKUP(A156,持仓总表!A:B,2,0)</f>
        <v/>
      </c>
      <c r="C156" s="27">
        <f>(持仓总表!C156*持仓总表!D156-SUMIF(当日交易记录!B:B,B156,当日交易记录!F:F))/D156</f>
        <v/>
      </c>
      <c r="D156" s="6">
        <f>持仓总表!D156-SUMIF(当日交易记录!B:B,B156,当日交易记录!D:D)</f>
        <v/>
      </c>
    </row>
    <row r="157">
      <c r="A157" s="6" t="n">
        <v>156</v>
      </c>
      <c r="B157" s="6">
        <f>VLOOKUP(A157,持仓总表!A:B,2,0)</f>
        <v/>
      </c>
      <c r="C157" s="27">
        <f>(持仓总表!C157*持仓总表!D157-SUMIF(当日交易记录!B:B,B157,当日交易记录!F:F))/D157</f>
        <v/>
      </c>
      <c r="D157" s="6">
        <f>持仓总表!D157-SUMIF(当日交易记录!B:B,B157,当日交易记录!D:D)</f>
        <v/>
      </c>
    </row>
    <row r="158">
      <c r="A158" s="6" t="n">
        <v>157</v>
      </c>
      <c r="B158" s="6">
        <f>VLOOKUP(A158,持仓总表!A:B,2,0)</f>
        <v/>
      </c>
      <c r="C158" s="27">
        <f>(持仓总表!C158*持仓总表!D158-SUMIF(当日交易记录!B:B,B158,当日交易记录!F:F))/D158</f>
        <v/>
      </c>
      <c r="D158" s="6">
        <f>持仓总表!D158-SUMIF(当日交易记录!B:B,B158,当日交易记录!D:D)</f>
        <v/>
      </c>
    </row>
    <row r="159">
      <c r="A159" s="6" t="n">
        <v>158</v>
      </c>
      <c r="B159" s="6">
        <f>VLOOKUP(A159,持仓总表!A:B,2,0)</f>
        <v/>
      </c>
      <c r="C159" s="27">
        <f>(持仓总表!C159*持仓总表!D159-SUMIF(当日交易记录!B:B,B159,当日交易记录!F:F))/D159</f>
        <v/>
      </c>
      <c r="D159" s="6">
        <f>持仓总表!D159-SUMIF(当日交易记录!B:B,B159,当日交易记录!D:D)</f>
        <v/>
      </c>
    </row>
    <row r="160">
      <c r="A160" s="6" t="n">
        <v>159</v>
      </c>
      <c r="B160" s="6">
        <f>VLOOKUP(A160,持仓总表!A:B,2,0)</f>
        <v/>
      </c>
      <c r="C160" s="27">
        <f>(持仓总表!C160*持仓总表!D160-SUMIF(当日交易记录!B:B,B160,当日交易记录!F:F))/D160</f>
        <v/>
      </c>
      <c r="D160" s="6">
        <f>持仓总表!D160-SUMIF(当日交易记录!B:B,B160,当日交易记录!D:D)</f>
        <v/>
      </c>
    </row>
    <row r="161">
      <c r="A161" s="6" t="n">
        <v>160</v>
      </c>
      <c r="B161" s="6">
        <f>VLOOKUP(A161,持仓总表!A:B,2,0)</f>
        <v/>
      </c>
      <c r="C161" s="27">
        <f>(持仓总表!C161*持仓总表!D161-SUMIF(当日交易记录!B:B,B161,当日交易记录!F:F))/D161</f>
        <v/>
      </c>
      <c r="D161" s="6">
        <f>持仓总表!D161-SUMIF(当日交易记录!B:B,B161,当日交易记录!D:D)</f>
        <v/>
      </c>
    </row>
    <row r="162">
      <c r="A162" s="6" t="n">
        <v>161</v>
      </c>
      <c r="B162" s="6">
        <f>VLOOKUP(A162,持仓总表!A:B,2,0)</f>
        <v/>
      </c>
      <c r="C162" s="27">
        <f>(持仓总表!C162*持仓总表!D162-SUMIF(当日交易记录!B:B,B162,当日交易记录!F:F))/D162</f>
        <v/>
      </c>
      <c r="D162" s="6">
        <f>持仓总表!D162-SUMIF(当日交易记录!B:B,B162,当日交易记录!D:D)</f>
        <v/>
      </c>
    </row>
    <row r="163">
      <c r="A163" s="6" t="n">
        <v>162</v>
      </c>
      <c r="B163" s="6">
        <f>VLOOKUP(A163,持仓总表!A:B,2,0)</f>
        <v/>
      </c>
      <c r="C163" s="27">
        <f>(持仓总表!C163*持仓总表!D163-SUMIF(当日交易记录!B:B,B163,当日交易记录!F:F))/D163</f>
        <v/>
      </c>
      <c r="D163" s="6">
        <f>持仓总表!D163-SUMIF(当日交易记录!B:B,B163,当日交易记录!D:D)</f>
        <v/>
      </c>
    </row>
    <row r="164">
      <c r="A164" s="6" t="n">
        <v>163</v>
      </c>
      <c r="B164" s="6">
        <f>VLOOKUP(A164,持仓总表!A:B,2,0)</f>
        <v/>
      </c>
      <c r="C164" s="27">
        <f>(持仓总表!C164*持仓总表!D164-SUMIF(当日交易记录!B:B,B164,当日交易记录!F:F))/D164</f>
        <v/>
      </c>
      <c r="D164" s="6">
        <f>持仓总表!D164-SUMIF(当日交易记录!B:B,B164,当日交易记录!D:D)</f>
        <v/>
      </c>
    </row>
    <row r="165">
      <c r="A165" s="6" t="n">
        <v>164</v>
      </c>
      <c r="B165" s="6">
        <f>VLOOKUP(A165,持仓总表!A:B,2,0)</f>
        <v/>
      </c>
      <c r="C165" s="27">
        <f>(持仓总表!C165*持仓总表!D165-SUMIF(当日交易记录!B:B,B165,当日交易记录!F:F))/D165</f>
        <v/>
      </c>
      <c r="D165" s="6">
        <f>持仓总表!D165-SUMIF(当日交易记录!B:B,B165,当日交易记录!D:D)</f>
        <v/>
      </c>
    </row>
    <row r="166">
      <c r="A166" s="6" t="n">
        <v>165</v>
      </c>
      <c r="B166" s="6">
        <f>VLOOKUP(A166,持仓总表!A:B,2,0)</f>
        <v/>
      </c>
      <c r="C166" s="27">
        <f>(持仓总表!C166*持仓总表!D166-SUMIF(当日交易记录!B:B,B166,当日交易记录!F:F))/D166</f>
        <v/>
      </c>
      <c r="D166" s="6">
        <f>持仓总表!D166-SUMIF(当日交易记录!B:B,B166,当日交易记录!D:D)</f>
        <v/>
      </c>
    </row>
    <row r="167">
      <c r="A167" s="6" t="n">
        <v>166</v>
      </c>
      <c r="B167" s="6">
        <f>VLOOKUP(A167,持仓总表!A:B,2,0)</f>
        <v/>
      </c>
      <c r="C167" s="27">
        <f>(持仓总表!C167*持仓总表!D167-SUMIF(当日交易记录!B:B,B167,当日交易记录!F:F))/D167</f>
        <v/>
      </c>
      <c r="D167" s="6">
        <f>持仓总表!D167-SUMIF(当日交易记录!B:B,B167,当日交易记录!D:D)</f>
        <v/>
      </c>
    </row>
    <row r="168">
      <c r="A168" s="6" t="n">
        <v>167</v>
      </c>
      <c r="B168" s="6">
        <f>VLOOKUP(A168,持仓总表!A:B,2,0)</f>
        <v/>
      </c>
      <c r="C168" s="27">
        <f>(持仓总表!C168*持仓总表!D168-SUMIF(当日交易记录!B:B,B168,当日交易记录!F:F))/D168</f>
        <v/>
      </c>
      <c r="D168" s="6">
        <f>持仓总表!D168-SUMIF(当日交易记录!B:B,B168,当日交易记录!D:D)</f>
        <v/>
      </c>
    </row>
    <row r="169">
      <c r="A169" s="6" t="n">
        <v>168</v>
      </c>
      <c r="B169" s="6">
        <f>VLOOKUP(A169,持仓总表!A:B,2,0)</f>
        <v/>
      </c>
      <c r="C169" s="27">
        <f>(持仓总表!C169*持仓总表!D169-SUMIF(当日交易记录!B:B,B169,当日交易记录!F:F))/D169</f>
        <v/>
      </c>
      <c r="D169" s="6">
        <f>持仓总表!D169-SUMIF(当日交易记录!B:B,B169,当日交易记录!D:D)</f>
        <v/>
      </c>
    </row>
    <row r="170">
      <c r="A170" s="6" t="n">
        <v>169</v>
      </c>
      <c r="B170" s="6">
        <f>VLOOKUP(A170,持仓总表!A:B,2,0)</f>
        <v/>
      </c>
      <c r="C170" s="27">
        <f>(持仓总表!C170*持仓总表!D170-SUMIF(当日交易记录!B:B,B170,当日交易记录!F:F))/D170</f>
        <v/>
      </c>
      <c r="D170" s="6">
        <f>持仓总表!D170-SUMIF(当日交易记录!B:B,B170,当日交易记录!D:D)</f>
        <v/>
      </c>
    </row>
    <row r="171">
      <c r="A171" s="6" t="n">
        <v>170</v>
      </c>
      <c r="B171" s="6">
        <f>VLOOKUP(A171,持仓总表!A:B,2,0)</f>
        <v/>
      </c>
      <c r="C171" s="27">
        <f>(持仓总表!C171*持仓总表!D171-SUMIF(当日交易记录!B:B,B171,当日交易记录!F:F))/D171</f>
        <v/>
      </c>
      <c r="D171" s="6">
        <f>持仓总表!D171-SUMIF(当日交易记录!B:B,B171,当日交易记录!D:D)</f>
        <v/>
      </c>
    </row>
    <row r="172">
      <c r="A172" s="6" t="n">
        <v>171</v>
      </c>
      <c r="B172" s="6">
        <f>VLOOKUP(A172,持仓总表!A:B,2,0)</f>
        <v/>
      </c>
      <c r="C172" s="27">
        <f>(持仓总表!C172*持仓总表!D172-SUMIF(当日交易记录!B:B,B172,当日交易记录!F:F))/D172</f>
        <v/>
      </c>
      <c r="D172" s="6">
        <f>持仓总表!D172-SUMIF(当日交易记录!B:B,B172,当日交易记录!D:D)</f>
        <v/>
      </c>
    </row>
    <row r="173">
      <c r="A173" s="6" t="n">
        <v>172</v>
      </c>
      <c r="B173" s="6">
        <f>VLOOKUP(A173,持仓总表!A:B,2,0)</f>
        <v/>
      </c>
      <c r="C173" s="27">
        <f>(持仓总表!C173*持仓总表!D173-SUMIF(当日交易记录!B:B,B173,当日交易记录!F:F))/D173</f>
        <v/>
      </c>
      <c r="D173" s="6">
        <f>持仓总表!D173-SUMIF(当日交易记录!B:B,B173,当日交易记录!D:D)</f>
        <v/>
      </c>
    </row>
    <row r="174">
      <c r="A174" s="6" t="n">
        <v>173</v>
      </c>
      <c r="B174" s="6">
        <f>VLOOKUP(A174,持仓总表!A:B,2,0)</f>
        <v/>
      </c>
      <c r="C174" s="27">
        <f>(持仓总表!C174*持仓总表!D174-SUMIF(当日交易记录!B:B,B174,当日交易记录!F:F))/D174</f>
        <v/>
      </c>
      <c r="D174" s="6">
        <f>持仓总表!D174-SUMIF(当日交易记录!B:B,B174,当日交易记录!D:D)</f>
        <v/>
      </c>
    </row>
    <row r="175">
      <c r="A175" s="6" t="n">
        <v>174</v>
      </c>
      <c r="B175" s="6">
        <f>VLOOKUP(A175,持仓总表!A:B,2,0)</f>
        <v/>
      </c>
      <c r="C175" s="27">
        <f>(持仓总表!C175*持仓总表!D175-SUMIF(当日交易记录!B:B,B175,当日交易记录!F:F))/D175</f>
        <v/>
      </c>
      <c r="D175" s="6">
        <f>持仓总表!D175-SUMIF(当日交易记录!B:B,B175,当日交易记录!D:D)</f>
        <v/>
      </c>
    </row>
    <row r="176">
      <c r="A176" s="6" t="n">
        <v>175</v>
      </c>
      <c r="B176" s="6">
        <f>VLOOKUP(A176,持仓总表!A:B,2,0)</f>
        <v/>
      </c>
      <c r="C176" s="27">
        <f>(持仓总表!C176*持仓总表!D176-SUMIF(当日交易记录!B:B,B176,当日交易记录!F:F))/D176</f>
        <v/>
      </c>
      <c r="D176" s="6">
        <f>持仓总表!D176-SUMIF(当日交易记录!B:B,B176,当日交易记录!D:D)</f>
        <v/>
      </c>
    </row>
    <row r="177">
      <c r="A177" s="6" t="n">
        <v>176</v>
      </c>
      <c r="B177" s="6">
        <f>VLOOKUP(A177,持仓总表!A:B,2,0)</f>
        <v/>
      </c>
      <c r="C177" s="27">
        <f>(持仓总表!C177*持仓总表!D177-SUMIF(当日交易记录!B:B,B177,当日交易记录!F:F))/D177</f>
        <v/>
      </c>
      <c r="D177" s="6">
        <f>持仓总表!D177-SUMIF(当日交易记录!B:B,B177,当日交易记录!D:D)</f>
        <v/>
      </c>
    </row>
    <row r="178">
      <c r="A178" s="6" t="n">
        <v>177</v>
      </c>
      <c r="B178" s="6">
        <f>VLOOKUP(A178,持仓总表!A:B,2,0)</f>
        <v/>
      </c>
      <c r="C178" s="27">
        <f>(持仓总表!C178*持仓总表!D178-SUMIF(当日交易记录!B:B,B178,当日交易记录!F:F))/D178</f>
        <v/>
      </c>
      <c r="D178" s="6">
        <f>持仓总表!D178-SUMIF(当日交易记录!B:B,B178,当日交易记录!D:D)</f>
        <v/>
      </c>
    </row>
    <row r="179">
      <c r="A179" s="6" t="n">
        <v>178</v>
      </c>
      <c r="B179" s="6">
        <f>VLOOKUP(A179,持仓总表!A:B,2,0)</f>
        <v/>
      </c>
      <c r="C179" s="27">
        <f>(持仓总表!C179*持仓总表!D179-SUMIF(当日交易记录!B:B,B179,当日交易记录!F:F))/D179</f>
        <v/>
      </c>
      <c r="D179" s="6">
        <f>持仓总表!D179-SUMIF(当日交易记录!B:B,B179,当日交易记录!D:D)</f>
        <v/>
      </c>
    </row>
    <row r="180">
      <c r="A180" s="6" t="n">
        <v>179</v>
      </c>
      <c r="B180" s="6">
        <f>VLOOKUP(A180,持仓总表!A:B,2,0)</f>
        <v/>
      </c>
      <c r="C180" s="27">
        <f>(持仓总表!C180*持仓总表!D180-SUMIF(当日交易记录!B:B,B180,当日交易记录!F:F))/D180</f>
        <v/>
      </c>
      <c r="D180" s="6">
        <f>持仓总表!D180-SUMIF(当日交易记录!B:B,B180,当日交易记录!D:D)</f>
        <v/>
      </c>
    </row>
    <row r="181">
      <c r="A181" s="6" t="n">
        <v>180</v>
      </c>
      <c r="B181" s="6">
        <f>VLOOKUP(A181,持仓总表!A:B,2,0)</f>
        <v/>
      </c>
      <c r="C181" s="27">
        <f>(持仓总表!C181*持仓总表!D181-SUMIF(当日交易记录!B:B,B181,当日交易记录!F:F))/D181</f>
        <v/>
      </c>
      <c r="D181" s="6">
        <f>持仓总表!D181-SUMIF(当日交易记录!B:B,B181,当日交易记录!D:D)</f>
        <v/>
      </c>
    </row>
    <row r="182">
      <c r="A182" s="6" t="n">
        <v>181</v>
      </c>
      <c r="B182" s="6">
        <f>VLOOKUP(A182,持仓总表!A:B,2,0)</f>
        <v/>
      </c>
      <c r="C182" s="27">
        <f>(持仓总表!C182*持仓总表!D182-SUMIF(当日交易记录!B:B,B182,当日交易记录!F:F))/D182</f>
        <v/>
      </c>
      <c r="D182" s="6">
        <f>持仓总表!D182-SUMIF(当日交易记录!B:B,B182,当日交易记录!D:D)</f>
        <v/>
      </c>
    </row>
    <row r="183">
      <c r="A183" s="6" t="n">
        <v>182</v>
      </c>
      <c r="B183" s="6">
        <f>VLOOKUP(A183,持仓总表!A:B,2,0)</f>
        <v/>
      </c>
      <c r="C183" s="27">
        <f>(持仓总表!C183*持仓总表!D183-SUMIF(当日交易记录!B:B,B183,当日交易记录!F:F))/D183</f>
        <v/>
      </c>
      <c r="D183" s="6">
        <f>持仓总表!D183-SUMIF(当日交易记录!B:B,B183,当日交易记录!D:D)</f>
        <v/>
      </c>
    </row>
    <row r="184">
      <c r="A184" s="6" t="n">
        <v>183</v>
      </c>
      <c r="B184" s="6">
        <f>VLOOKUP(A184,持仓总表!A:B,2,0)</f>
        <v/>
      </c>
      <c r="C184" s="27">
        <f>(持仓总表!C184*持仓总表!D184-SUMIF(当日交易记录!B:B,B184,当日交易记录!F:F))/D184</f>
        <v/>
      </c>
      <c r="D184" s="6">
        <f>持仓总表!D184-SUMIF(当日交易记录!B:B,B184,当日交易记录!D:D)</f>
        <v/>
      </c>
    </row>
    <row r="185">
      <c r="A185" s="6" t="n">
        <v>184</v>
      </c>
      <c r="B185" s="6">
        <f>VLOOKUP(A185,持仓总表!A:B,2,0)</f>
        <v/>
      </c>
      <c r="C185" s="27">
        <f>(持仓总表!C185*持仓总表!D185-SUMIF(当日交易记录!B:B,B185,当日交易记录!F:F))/D185</f>
        <v/>
      </c>
      <c r="D185" s="6">
        <f>持仓总表!D185-SUMIF(当日交易记录!B:B,B185,当日交易记录!D:D)</f>
        <v/>
      </c>
    </row>
    <row r="186">
      <c r="A186" s="6" t="n">
        <v>185</v>
      </c>
      <c r="B186" s="6">
        <f>VLOOKUP(A186,持仓总表!A:B,2,0)</f>
        <v/>
      </c>
      <c r="C186" s="27">
        <f>(持仓总表!C186*持仓总表!D186-SUMIF(当日交易记录!B:B,B186,当日交易记录!F:F))/D186</f>
        <v/>
      </c>
      <c r="D186" s="6">
        <f>持仓总表!D186-SUMIF(当日交易记录!B:B,B186,当日交易记录!D:D)</f>
        <v/>
      </c>
    </row>
    <row r="187">
      <c r="A187" s="6" t="n">
        <v>186</v>
      </c>
      <c r="B187" s="6">
        <f>VLOOKUP(A187,持仓总表!A:B,2,0)</f>
        <v/>
      </c>
      <c r="C187" s="27">
        <f>(持仓总表!C187*持仓总表!D187-SUMIF(当日交易记录!B:B,B187,当日交易记录!F:F))/D187</f>
        <v/>
      </c>
      <c r="D187" s="6">
        <f>持仓总表!D187-SUMIF(当日交易记录!B:B,B187,当日交易记录!D:D)</f>
        <v/>
      </c>
    </row>
    <row r="188">
      <c r="A188" s="6" t="n">
        <v>187</v>
      </c>
      <c r="B188" s="6">
        <f>VLOOKUP(A188,持仓总表!A:B,2,0)</f>
        <v/>
      </c>
      <c r="C188" s="27">
        <f>(持仓总表!C188*持仓总表!D188-SUMIF(当日交易记录!B:B,B188,当日交易记录!F:F))/D188</f>
        <v/>
      </c>
      <c r="D188" s="6">
        <f>持仓总表!D188-SUMIF(当日交易记录!B:B,B188,当日交易记录!D:D)</f>
        <v/>
      </c>
    </row>
    <row r="189">
      <c r="A189" s="6" t="n">
        <v>188</v>
      </c>
      <c r="B189" s="6">
        <f>VLOOKUP(A189,持仓总表!A:B,2,0)</f>
        <v/>
      </c>
      <c r="C189" s="27">
        <f>(持仓总表!C189*持仓总表!D189-SUMIF(当日交易记录!B:B,B189,当日交易记录!F:F))/D189</f>
        <v/>
      </c>
      <c r="D189" s="6">
        <f>持仓总表!D189-SUMIF(当日交易记录!B:B,B189,当日交易记录!D:D)</f>
        <v/>
      </c>
    </row>
    <row r="190">
      <c r="A190" s="6" t="n">
        <v>189</v>
      </c>
      <c r="B190" s="6">
        <f>VLOOKUP(A190,持仓总表!A:B,2,0)</f>
        <v/>
      </c>
      <c r="C190" s="27">
        <f>(持仓总表!C190*持仓总表!D190-SUMIF(当日交易记录!B:B,B190,当日交易记录!F:F))/D190</f>
        <v/>
      </c>
      <c r="D190" s="6">
        <f>持仓总表!D190-SUMIF(当日交易记录!B:B,B190,当日交易记录!D:D)</f>
        <v/>
      </c>
    </row>
    <row r="191">
      <c r="A191" s="6" t="n">
        <v>190</v>
      </c>
      <c r="B191" s="6">
        <f>VLOOKUP(A191,持仓总表!A:B,2,0)</f>
        <v/>
      </c>
      <c r="C191" s="27">
        <f>(持仓总表!C191*持仓总表!D191-SUMIF(当日交易记录!B:B,B191,当日交易记录!F:F))/D191</f>
        <v/>
      </c>
      <c r="D191" s="6">
        <f>持仓总表!D191-SUMIF(当日交易记录!B:B,B191,当日交易记录!D:D)</f>
        <v/>
      </c>
    </row>
    <row r="192">
      <c r="A192" s="6" t="n">
        <v>191</v>
      </c>
      <c r="B192" s="6">
        <f>VLOOKUP(A192,持仓总表!A:B,2,0)</f>
        <v/>
      </c>
      <c r="C192" s="27">
        <f>(持仓总表!C192*持仓总表!D192-SUMIF(当日交易记录!B:B,B192,当日交易记录!F:F))/D192</f>
        <v/>
      </c>
      <c r="D192" s="6">
        <f>持仓总表!D192-SUMIF(当日交易记录!B:B,B192,当日交易记录!D:D)</f>
        <v/>
      </c>
    </row>
    <row r="193">
      <c r="A193" s="6" t="n">
        <v>192</v>
      </c>
      <c r="B193" s="6">
        <f>VLOOKUP(A193,持仓总表!A:B,2,0)</f>
        <v/>
      </c>
      <c r="C193" s="27">
        <f>(持仓总表!C193*持仓总表!D193-SUMIF(当日交易记录!B:B,B193,当日交易记录!F:F))/D193</f>
        <v/>
      </c>
      <c r="D193" s="6">
        <f>持仓总表!D193-SUMIF(当日交易记录!B:B,B193,当日交易记录!D:D)</f>
        <v/>
      </c>
    </row>
    <row r="194">
      <c r="A194" s="6" t="n">
        <v>193</v>
      </c>
      <c r="B194" s="6">
        <f>VLOOKUP(A194,持仓总表!A:B,2,0)</f>
        <v/>
      </c>
      <c r="C194" s="27">
        <f>(持仓总表!C194*持仓总表!D194-SUMIF(当日交易记录!B:B,B194,当日交易记录!F:F))/D194</f>
        <v/>
      </c>
      <c r="D194" s="6">
        <f>持仓总表!D194-SUMIF(当日交易记录!B:B,B194,当日交易记录!D:D)</f>
        <v/>
      </c>
    </row>
    <row r="195">
      <c r="A195" s="6" t="n">
        <v>194</v>
      </c>
      <c r="B195" s="6">
        <f>VLOOKUP(A195,持仓总表!A:B,2,0)</f>
        <v/>
      </c>
      <c r="C195" s="27">
        <f>(持仓总表!C195*持仓总表!D195-SUMIF(当日交易记录!B:B,B195,当日交易记录!F:F))/D195</f>
        <v/>
      </c>
      <c r="D195" s="6">
        <f>持仓总表!D195-SUMIF(当日交易记录!B:B,B195,当日交易记录!D:D)</f>
        <v/>
      </c>
    </row>
    <row r="196">
      <c r="A196" s="6" t="n">
        <v>195</v>
      </c>
      <c r="B196" s="6">
        <f>VLOOKUP(A196,持仓总表!A:B,2,0)</f>
        <v/>
      </c>
      <c r="C196" s="27">
        <f>(持仓总表!C196*持仓总表!D196-SUMIF(当日交易记录!B:B,B196,当日交易记录!F:F))/D196</f>
        <v/>
      </c>
      <c r="D196" s="6">
        <f>持仓总表!D196-SUMIF(当日交易记录!B:B,B196,当日交易记录!D:D)</f>
        <v/>
      </c>
    </row>
    <row r="197">
      <c r="A197" s="6" t="n">
        <v>196</v>
      </c>
      <c r="B197" s="6">
        <f>VLOOKUP(A197,持仓总表!A:B,2,0)</f>
        <v/>
      </c>
      <c r="C197" s="27">
        <f>(持仓总表!C197*持仓总表!D197-SUMIF(当日交易记录!B:B,B197,当日交易记录!F:F))/D197</f>
        <v/>
      </c>
      <c r="D197" s="6">
        <f>持仓总表!D197-SUMIF(当日交易记录!B:B,B197,当日交易记录!D:D)</f>
        <v/>
      </c>
    </row>
    <row r="198">
      <c r="A198" s="6" t="n">
        <v>197</v>
      </c>
      <c r="B198" s="6">
        <f>VLOOKUP(A198,持仓总表!A:B,2,0)</f>
        <v/>
      </c>
      <c r="C198" s="27">
        <f>(持仓总表!C198*持仓总表!D198-SUMIF(当日交易记录!B:B,B198,当日交易记录!F:F))/D198</f>
        <v/>
      </c>
      <c r="D198" s="6">
        <f>持仓总表!D198-SUMIF(当日交易记录!B:B,B198,当日交易记录!D:D)</f>
        <v/>
      </c>
    </row>
    <row r="199">
      <c r="A199" s="6" t="n">
        <v>198</v>
      </c>
      <c r="B199" s="6">
        <f>VLOOKUP(A199,持仓总表!A:B,2,0)</f>
        <v/>
      </c>
      <c r="C199" s="27">
        <f>(持仓总表!C199*持仓总表!D199-SUMIF(当日交易记录!B:B,B199,当日交易记录!F:F))/D199</f>
        <v/>
      </c>
      <c r="D199" s="6">
        <f>持仓总表!D199-SUMIF(当日交易记录!B:B,B199,当日交易记录!D:D)</f>
        <v/>
      </c>
    </row>
    <row r="200">
      <c r="A200" s="6" t="n">
        <v>199</v>
      </c>
      <c r="B200" s="6">
        <f>VLOOKUP(A200,持仓总表!A:B,2,0)</f>
        <v/>
      </c>
      <c r="C200" s="27">
        <f>(持仓总表!C200*持仓总表!D200-SUMIF(当日交易记录!B:B,B200,当日交易记录!F:F))/D200</f>
        <v/>
      </c>
      <c r="D200" s="6">
        <f>持仓总表!D200-SUMIF(当日交易记录!B:B,B200,当日交易记录!D:D)</f>
        <v/>
      </c>
    </row>
    <row r="201">
      <c r="A201" s="6" t="n">
        <v>200</v>
      </c>
      <c r="B201" s="6">
        <f>VLOOKUP(A201,持仓总表!A:B,2,0)</f>
        <v/>
      </c>
      <c r="C201" s="27">
        <f>(持仓总表!C201*持仓总表!D201-SUMIF(当日交易记录!B:B,B201,当日交易记录!F:F))/D201</f>
        <v/>
      </c>
      <c r="D201" s="6">
        <f>持仓总表!D201-SUMIF(当日交易记录!B:B,B201,当日交易记录!D:D)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2025-12-22T03:32:14Z</dcterms:modified>
  <cp:lastModifiedBy>MyPC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1033-12.2.0.23155</vt:lpwstr>
  </property>
  <property name="ICV" fmtid="{D5CDD505-2E9C-101B-9397-08002B2CF9AE}" pid="3">
    <vt:lpwstr xmlns:vt="http://schemas.openxmlformats.org/officeDocument/2006/docPropsVTypes">AEEF31DF4900436DB07AB3DB2AC16D2D_13</vt:lpwstr>
  </property>
</Properties>
</file>