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800" windowHeight="12300" tabRatio="600" firstSheet="0" activeTab="0" autoFilterDateGrouping="1"/>
  </bookViews>
  <sheets>
    <sheet xmlns:r="http://schemas.openxmlformats.org/officeDocument/2006/relationships" name="持仓总表" sheetId="1" state="visible" r:id="rId1"/>
    <sheet xmlns:r="http://schemas.openxmlformats.org/officeDocument/2006/relationships" name="当日交易记录" sheetId="2" state="visible" r:id="rId2"/>
    <sheet xmlns:r="http://schemas.openxmlformats.org/officeDocument/2006/relationships" name="盘中持仓" sheetId="3" state="visible" r:id="rId3"/>
    <sheet xmlns:r="http://schemas.openxmlformats.org/officeDocument/2006/relationships" name="持仓成本" sheetId="4" state="visible" r:id="rId4"/>
  </sheets>
  <definedNames>
    <definedName name="_xlnm._FilterDatabase" localSheetId="0" hidden="1">'持仓总表'!$A$2:$I$273</definedName>
    <definedName name="_xlnm._FilterDatabase" localSheetId="1" hidden="1">'当日交易记录'!$A$1:$G$201</definedName>
  </definedNames>
  <calcPr calcId="191029" fullCalcOnLoad="1"/>
  <pivotCaches>
    <pivotCache xmlns:r="http://schemas.openxmlformats.org/officeDocument/2006/relationships" cacheId="1" r:id="rId5"/>
    <pivotCache xmlns:r="http://schemas.openxmlformats.org/officeDocument/2006/relationships" cacheId="0" r:id="rId6"/>
  </pivotCaches>
</workbook>
</file>

<file path=xl/styles.xml><?xml version="1.0" encoding="utf-8"?>
<styleSheet xmlns="http://schemas.openxmlformats.org/spreadsheetml/2006/main">
  <numFmts count="2">
    <numFmt numFmtId="164" formatCode="0.00_ "/>
    <numFmt numFmtId="165" formatCode="_ * #,##0.00_ ;_ * \-#,##0.00_ ;_ * &quot;-&quot;??_ ;_ @_ "/>
  </numFmts>
  <fonts count="26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theme="1"/>
      <sz val="20"/>
      <scheme val="minor"/>
    </font>
    <font>
      <name val="Calibri"/>
      <charset val="134"/>
      <b val="1"/>
      <color theme="1"/>
      <sz val="16"/>
      <scheme val="minor"/>
    </font>
    <font>
      <name val="Calibri"/>
      <charset val="134"/>
      <color theme="1"/>
      <sz val="16"/>
      <scheme val="minor"/>
    </font>
    <font>
      <name val="Calibri"/>
      <charset val="134"/>
      <sz val="16"/>
      <scheme val="minor"/>
    </font>
    <font>
      <name val="Calibri"/>
      <charset val="134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5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" applyAlignment="1">
      <alignment vertical="center"/>
    </xf>
    <xf numFmtId="0" fontId="13" fillId="0" borderId="6" applyAlignment="1">
      <alignment vertical="center"/>
    </xf>
    <xf numFmtId="0" fontId="14" fillId="0" borderId="7" applyAlignment="1">
      <alignment vertical="center"/>
    </xf>
    <xf numFmtId="0" fontId="14" fillId="0" borderId="0" applyAlignment="1">
      <alignment vertical="center"/>
    </xf>
    <xf numFmtId="0" fontId="15" fillId="3" borderId="8" applyAlignment="1">
      <alignment vertical="center"/>
    </xf>
    <xf numFmtId="0" fontId="16" fillId="4" borderId="9" applyAlignment="1">
      <alignment vertical="center"/>
    </xf>
    <xf numFmtId="0" fontId="17" fillId="4" borderId="8" applyAlignment="1">
      <alignment vertical="center"/>
    </xf>
    <xf numFmtId="0" fontId="18" fillId="5" borderId="10" applyAlignment="1">
      <alignment vertical="center"/>
    </xf>
    <xf numFmtId="0" fontId="19" fillId="0" borderId="11" applyAlignment="1">
      <alignment vertical="center"/>
    </xf>
    <xf numFmtId="0" fontId="20" fillId="0" borderId="12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0" fontId="4" fillId="0" borderId="1" applyAlignment="1" pivotButton="0" quotePrefix="0" xfId="3">
      <alignment horizontal="center" vertical="center"/>
    </xf>
    <xf numFmtId="165" fontId="4" fillId="0" borderId="1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165" fontId="4" fillId="0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164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14" fontId="1" fillId="0" borderId="4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3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0" fillId="0" borderId="3" pivotButton="0" quotePrefix="0" xfId="0"/>
    <xf numFmtId="165" fontId="4" fillId="0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164" fontId="1" fillId="0" borderId="1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pivotCacheDefinition" Target="/xl/pivotCache/pivotCacheDefinition1.xml" Id="rId5"/><Relationship Type="http://schemas.openxmlformats.org/officeDocument/2006/relationships/pivotCacheDefinition" Target="/xl/pivotCache/pivotCacheDefinition2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pivotSource>
    <name>[短线记录 - 副本(3) - 副本.xlsx]持仓总表!数据透视表4</name>
    <fmtId val="6"/>
  </pivotSource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持仓占比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pieChart>
        <varyColors val="1"/>
        <ser>
          <idx val="0"/>
          <order val="0"/>
          <tx>
            <strRef>
              <f>持仓总表!$L$5</f>
              <strCache>
                <ptCount val="1"/>
                <pt idx="0">
                  <v>求和项:持仓股数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explosion val="0"/>
          <dPt>
            <idx val="0"/>
            <bubble3D val="0"/>
            <spPr>
              <a:gradFill xmlns:a="http://schemas.openxmlformats.org/drawingml/2006/main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3"/>
            <bubble3D val="0"/>
            <spPr>
              <a:gradFill xmlns:a="http://schemas.openxmlformats.org/drawingml/2006/main"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4"/>
            <bubble3D val="0"/>
            <spPr>
              <a:gradFill xmlns:a="http://schemas.openxmlformats.org/drawingml/2006/main"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5"/>
            <bubble3D val="0"/>
            <spPr>
              <a:gradFill xmlns:a="http://schemas.openxmlformats.org/drawingml/2006/main"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6"/>
            <bubble3D val="0"/>
            <spPr>
              <a:gradFill xmlns:a="http://schemas.openxmlformats.org/drawingml/2006/main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7"/>
            <bubble3D val="0"/>
            <spPr>
              <a:gradFill xmlns:a="http://schemas.openxmlformats.org/drawingml/2006/main"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8"/>
            <bubble3D val="0"/>
            <spPr>
              <a:gradFill xmlns:a="http://schemas.openxmlformats.org/drawingml/2006/main"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9"/>
            <bubble3D val="0"/>
            <spPr>
              <a:gradFill xmlns:a="http://schemas.openxmlformats.org/drawingml/2006/main"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0"/>
            <bubble3D val="0"/>
            <spPr>
              <a:gradFill xmlns:a="http://schemas.openxmlformats.org/drawingml/2006/main"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1"/>
            <bubble3D val="0"/>
            <spPr>
              <a:gradFill xmlns:a="http://schemas.openxmlformats.org/drawingml/2006/main"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2"/>
            <bubble3D val="0"/>
            <spPr>
              <a:gradFill xmlns:a="http://schemas.openxmlformats.org/drawingml/2006/main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75000"/>
                        <a:lumOff val="20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3"/>
            <bubble3D val="0"/>
            <spPr>
              <a:gradFill xmlns:a="http://schemas.openxmlformats.org/drawingml/2006/main"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2">
                        <a:lumMod val="80000"/>
                        <a:lumOff val="20000"/>
                      </a:schemeClr>
                    </a:gs>
                    <a:gs pos="100000">
                      <a:schemeClr val="accent2">
                        <a:lumMod val="75000"/>
                        <a:lumOff val="20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4"/>
            <bubble3D val="0"/>
            <spPr>
              <a:gradFill xmlns:a="http://schemas.openxmlformats.org/drawingml/2006/main"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3">
                        <a:lumMod val="80000"/>
                        <a:lumOff val="20000"/>
                      </a:schemeClr>
                    </a:gs>
                    <a:gs pos="100000">
                      <a:schemeClr val="accent3">
                        <a:lumMod val="75000"/>
                        <a:lumOff val="20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5"/>
            <bubble3D val="0"/>
            <spPr>
              <a:gradFill xmlns:a="http://schemas.openxmlformats.org/drawingml/2006/main"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4">
                        <a:lumMod val="80000"/>
                        <a:lumOff val="20000"/>
                      </a:schemeClr>
                    </a:gs>
                    <a:gs pos="100000">
                      <a:schemeClr val="accent4">
                        <a:lumMod val="75000"/>
                        <a:lumOff val="20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6"/>
            <bubble3D val="0"/>
            <spPr>
              <a:gradFill xmlns:a="http://schemas.openxmlformats.org/drawingml/2006/main"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5">
                        <a:lumMod val="80000"/>
                        <a:lumOff val="20000"/>
                      </a:schemeClr>
                    </a:gs>
                    <a:gs pos="100000">
                      <a:schemeClr val="accent5">
                        <a:lumMod val="75000"/>
                        <a:lumOff val="20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7"/>
            <bubble3D val="0"/>
            <spPr>
              <a:gradFill xmlns:a="http://schemas.openxmlformats.org/drawingml/2006/main"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6">
                        <a:lumMod val="80000"/>
                        <a:lumOff val="20000"/>
                      </a:schemeClr>
                    </a:gs>
                    <a:gs pos="100000">
                      <a:schemeClr val="accent6">
                        <a:lumMod val="75000"/>
                        <a:lumOff val="20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8"/>
            <bubble3D val="0"/>
            <spPr>
              <a:gradFill xmlns:a="http://schemas.openxmlformats.org/drawingml/2006/main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1">
                        <a:lumMod val="8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9"/>
            <bubble3D val="0"/>
            <spPr>
              <a:gradFill xmlns:a="http://schemas.openxmlformats.org/drawingml/2006/main"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2">
                        <a:lumMod val="8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Lbls>
            <dLbl>
              <idx val="0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3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4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5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6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7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8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9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0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1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2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3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4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5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6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7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8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9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0" vertOverflow="ellipsis" vert="horz" wrap="square" lIns="38100" tIns="19050" rIns="38100" bIns="19050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持仓总表!$K$6:$K$26</f>
              <strCache>
                <ptCount val="20"/>
                <pt idx="0">
                  <v>概伦电子</v>
                </pt>
                <pt idx="1">
                  <v>广立微</v>
                </pt>
                <pt idx="2">
                  <v>国光电气</v>
                </pt>
                <pt idx="3">
                  <v>合锻智能</v>
                </pt>
                <pt idx="4">
                  <v>宏微科技</v>
                </pt>
                <pt idx="5">
                  <v>华润微</v>
                </pt>
                <pt idx="6">
                  <v>联创光电</v>
                </pt>
                <pt idx="7">
                  <v>联芸科技</v>
                </pt>
                <pt idx="8">
                  <v>山东黄金</v>
                </pt>
                <pt idx="9">
                  <v>士兰微</v>
                </pt>
                <pt idx="10">
                  <v>斯达半导</v>
                </pt>
                <pt idx="11">
                  <v>中芯国际</v>
                </pt>
                <pt idx="12">
                  <v>(blank)</v>
                </pt>
                <pt idx="13">
                  <v>梦洁股份</v>
                </pt>
                <pt idx="14">
                  <v>芯原股份</v>
                </pt>
                <pt idx="15">
                  <v>紫光国微</v>
                </pt>
                <pt idx="16">
                  <v>中微公司</v>
                </pt>
                <pt idx="17">
                  <v>奥联电子</v>
                </pt>
                <pt idx="18">
                  <v>通富微电</v>
                </pt>
                <pt idx="19">
                  <v>利仁科技</v>
                </pt>
              </strCache>
            </strRef>
          </cat>
          <val>
            <numRef>
              <f>持仓总表!$L$6:$L$26</f>
              <numCache>
                <formatCode>General</formatCode>
                <ptCount val="20"/>
                <pt idx="0">
                  <v>2500</v>
                </pt>
                <pt idx="1">
                  <v>1300</v>
                </pt>
                <pt idx="2">
                  <v>7600</v>
                </pt>
                <pt idx="3">
                  <v>8800</v>
                </pt>
                <pt idx="4">
                  <v>17700</v>
                </pt>
                <pt idx="5">
                  <v>2948</v>
                </pt>
                <pt idx="6">
                  <v>6800</v>
                </pt>
                <pt idx="7">
                  <v>3600</v>
                </pt>
                <pt idx="8">
                  <v>5500</v>
                </pt>
                <pt idx="9">
                  <v>8400</v>
                </pt>
                <pt idx="10">
                  <v>1900</v>
                </pt>
                <pt idx="11">
                  <v>2400</v>
                </pt>
                <pt idx="13">
                  <v>45400</v>
                </pt>
                <pt idx="14">
                  <v>3900</v>
                </pt>
                <pt idx="15">
                  <v>1300</v>
                </pt>
                <pt idx="16">
                  <v>1200</v>
                </pt>
                <pt idx="17">
                  <v>25300</v>
                </pt>
                <pt idx="18">
                  <v>1400</v>
                </pt>
                <pt idx="19">
                  <v>5400</v>
                </pt>
              </numCache>
            </numRef>
          </val>
        </ser>
        <ser>
          <idx val="1"/>
          <order val="1"/>
          <tx>
            <strRef>
              <f>持仓总表!$M$5</f>
              <strCache>
                <ptCount val="1"/>
                <pt idx="0">
                  <v>求和项:持仓市值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explosion val="0"/>
          <dPt>
            <idx val="0"/>
            <bubble3D val="0"/>
            <spPr>
              <a:gradFill xmlns:a="http://schemas.openxmlformats.org/drawingml/2006/main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3"/>
            <bubble3D val="0"/>
            <spPr>
              <a:gradFill xmlns:a="http://schemas.openxmlformats.org/drawingml/2006/main"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4"/>
            <bubble3D val="0"/>
            <spPr>
              <a:gradFill xmlns:a="http://schemas.openxmlformats.org/drawingml/2006/main"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5"/>
            <bubble3D val="0"/>
            <spPr>
              <a:gradFill xmlns:a="http://schemas.openxmlformats.org/drawingml/2006/main"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6"/>
            <bubble3D val="0"/>
            <spPr>
              <a:gradFill xmlns:a="http://schemas.openxmlformats.org/drawingml/2006/main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7"/>
            <bubble3D val="0"/>
            <spPr>
              <a:gradFill xmlns:a="http://schemas.openxmlformats.org/drawingml/2006/main"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8"/>
            <bubble3D val="0"/>
            <spPr>
              <a:gradFill xmlns:a="http://schemas.openxmlformats.org/drawingml/2006/main"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9"/>
            <bubble3D val="0"/>
            <spPr>
              <a:gradFill xmlns:a="http://schemas.openxmlformats.org/drawingml/2006/main"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0"/>
            <bubble3D val="0"/>
            <spPr>
              <a:gradFill xmlns:a="http://schemas.openxmlformats.org/drawingml/2006/main"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1"/>
            <bubble3D val="0"/>
            <spPr>
              <a:gradFill xmlns:a="http://schemas.openxmlformats.org/drawingml/2006/main"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2"/>
            <bubble3D val="0"/>
            <spPr>
              <a:gradFill xmlns:a="http://schemas.openxmlformats.org/drawingml/2006/main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75000"/>
                        <a:lumOff val="20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3"/>
            <bubble3D val="0"/>
            <spPr>
              <a:gradFill xmlns:a="http://schemas.openxmlformats.org/drawingml/2006/main"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2">
                        <a:lumMod val="80000"/>
                        <a:lumOff val="20000"/>
                      </a:schemeClr>
                    </a:gs>
                    <a:gs pos="100000">
                      <a:schemeClr val="accent2">
                        <a:lumMod val="75000"/>
                        <a:lumOff val="20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4"/>
            <bubble3D val="0"/>
            <spPr>
              <a:gradFill xmlns:a="http://schemas.openxmlformats.org/drawingml/2006/main"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3">
                        <a:lumMod val="80000"/>
                        <a:lumOff val="20000"/>
                      </a:schemeClr>
                    </a:gs>
                    <a:gs pos="100000">
                      <a:schemeClr val="accent3">
                        <a:lumMod val="75000"/>
                        <a:lumOff val="20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5"/>
            <bubble3D val="0"/>
            <spPr>
              <a:gradFill xmlns:a="http://schemas.openxmlformats.org/drawingml/2006/main"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4">
                        <a:lumMod val="80000"/>
                        <a:lumOff val="20000"/>
                      </a:schemeClr>
                    </a:gs>
                    <a:gs pos="100000">
                      <a:schemeClr val="accent4">
                        <a:lumMod val="75000"/>
                        <a:lumOff val="20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6"/>
            <bubble3D val="0"/>
            <spPr>
              <a:gradFill xmlns:a="http://schemas.openxmlformats.org/drawingml/2006/main"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5">
                        <a:lumMod val="80000"/>
                        <a:lumOff val="20000"/>
                      </a:schemeClr>
                    </a:gs>
                    <a:gs pos="100000">
                      <a:schemeClr val="accent5">
                        <a:lumMod val="75000"/>
                        <a:lumOff val="20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7"/>
            <bubble3D val="0"/>
            <spPr>
              <a:gradFill xmlns:a="http://schemas.openxmlformats.org/drawingml/2006/main"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6">
                        <a:lumMod val="80000"/>
                        <a:lumOff val="20000"/>
                      </a:schemeClr>
                    </a:gs>
                    <a:gs pos="100000">
                      <a:schemeClr val="accent6">
                        <a:lumMod val="75000"/>
                        <a:lumOff val="20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8"/>
            <bubble3D val="0"/>
            <spPr>
              <a:gradFill xmlns:a="http://schemas.openxmlformats.org/drawingml/2006/main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1">
                        <a:lumMod val="8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Pt>
            <idx val="19"/>
            <bubble3D val="0"/>
            <spPr>
              <a:gradFill xmlns:a="http://schemas.openxmlformats.org/drawingml/2006/main"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xmlns:a="http://schemas.openxmlformats.org/drawingml/2006/main">
                <a:gradFill>
                  <a:gsLst>
                    <a:gs pos="0">
                      <a:schemeClr val="accent2">
                        <a:lumMod val="8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  <a:prstDash val="solid"/>
              </a:ln>
            </spPr>
          </dPt>
          <dLbls>
            <dLbl>
              <idx val="0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3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4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5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6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7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8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9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0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1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2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3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4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5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6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7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8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9"/>
              <numFmt formatCode="General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0" vertOverflow="ellipsis" vert="horz" wrap="square" lIns="38100" tIns="19050" rIns="38100" bIns="19050" anchor="ctr" anchorCtr="1"/>
                <a:lstStyle xmlns:a="http://schemas.openxmlformats.org/drawingml/2006/main"/>
                <a:p xmlns:a="http://schemas.openxmlformats.org/drawingml/2006/main">
                  <a:pPr>
                    <a:defRPr lang="zh-CN" sz="1000" b="1" i="0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0"/>
              <showCatName val="1"/>
              <showSerName val="0"/>
              <showPercent val="1"/>
              <showBubbleSize val="0"/>
            </dLbl>
            <numFmt formatCode="General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0" vertOverflow="ellipsis" vert="horz" wrap="square" lIns="38100" tIns="19050" rIns="38100" bIns="19050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持仓总表!$K$6:$K$26</f>
              <strCache>
                <ptCount val="20"/>
                <pt idx="0">
                  <v>概伦电子</v>
                </pt>
                <pt idx="1">
                  <v>广立微</v>
                </pt>
                <pt idx="2">
                  <v>国光电气</v>
                </pt>
                <pt idx="3">
                  <v>合锻智能</v>
                </pt>
                <pt idx="4">
                  <v>宏微科技</v>
                </pt>
                <pt idx="5">
                  <v>华润微</v>
                </pt>
                <pt idx="6">
                  <v>联创光电</v>
                </pt>
                <pt idx="7">
                  <v>联芸科技</v>
                </pt>
                <pt idx="8">
                  <v>山东黄金</v>
                </pt>
                <pt idx="9">
                  <v>士兰微</v>
                </pt>
                <pt idx="10">
                  <v>斯达半导</v>
                </pt>
                <pt idx="11">
                  <v>中芯国际</v>
                </pt>
                <pt idx="12">
                  <v>(blank)</v>
                </pt>
                <pt idx="13">
                  <v>梦洁股份</v>
                </pt>
                <pt idx="14">
                  <v>芯原股份</v>
                </pt>
                <pt idx="15">
                  <v>紫光国微</v>
                </pt>
                <pt idx="16">
                  <v>中微公司</v>
                </pt>
                <pt idx="17">
                  <v>奥联电子</v>
                </pt>
                <pt idx="18">
                  <v>通富微电</v>
                </pt>
                <pt idx="19">
                  <v>利仁科技</v>
                </pt>
              </strCache>
            </strRef>
          </cat>
          <val>
            <numRef>
              <f>持仓总表!$M$6:$M$26</f>
              <numCache>
                <formatCode>General</formatCode>
                <ptCount val="20"/>
                <pt idx="0">
                  <v>84450</v>
                </pt>
                <pt idx="1">
                  <v>86502</v>
                </pt>
                <pt idx="2">
                  <v>703836</v>
                </pt>
                <pt idx="3">
                  <v>200024</v>
                </pt>
                <pt idx="4">
                  <v>486573</v>
                </pt>
                <pt idx="5">
                  <v>160666</v>
                </pt>
                <pt idx="6">
                  <v>400520</v>
                </pt>
                <pt idx="7">
                  <v>157572</v>
                </pt>
                <pt idx="8">
                  <v>200310</v>
                </pt>
                <pt idx="9">
                  <v>232428</v>
                </pt>
                <pt idx="10">
                  <v>178676</v>
                </pt>
                <pt idx="11">
                  <v>272712</v>
                </pt>
                <pt idx="12">
                  <v>0</v>
                </pt>
                <pt idx="13">
                  <v>190226</v>
                </pt>
                <pt idx="14">
                  <v>487929</v>
                </pt>
                <pt idx="15">
                  <v>98605</v>
                </pt>
                <pt idx="16">
                  <v>327264</v>
                </pt>
                <pt idx="17">
                  <v>573804</v>
                </pt>
                <pt idx="18">
                  <v>50078</v>
                </pt>
                <pt idx="19">
                  <v>165942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9</col>
      <colOff>33655</colOff>
      <row>29</row>
      <rowOff>24130</rowOff>
    </from>
    <to>
      <col>23</col>
      <colOff>389890</colOff>
      <row>68</row>
      <rowOff>29210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2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MyPC" refreshedDate="46013.6153935185" createdVersion="5" refreshedVersion="5" minRefreshableVersion="3" recordCount="200" r:id="rId1">
  <cacheSource type="worksheet">
    <worksheetSource ref="B2:I202" sheet="持仓总表"/>
  </cacheSource>
  <cacheFields count="8">
    <cacheField name="股票名称" uniqueList="1" numFmtId="43" sqlType="0" hierarchy="0" level="0" databaseField="1">
      <sharedItems count="30" containsBlank="1">
        <s v="国光电气"/>
        <s v="宏微科技"/>
        <s v="联创光电"/>
        <s v="广立微"/>
        <s v="华润微"/>
        <s v="梦洁股份"/>
        <s v="山东黄金"/>
        <s v="斯达半导"/>
        <s v="士兰微"/>
        <s v="紫光国微"/>
        <s v="概伦电子"/>
        <s v="中微公司"/>
        <s v="中芯国际"/>
        <s v="合锻智能"/>
        <s v="联芸科技"/>
        <s v="奥联电子"/>
        <s v="芯原股份"/>
        <s v="通富微电"/>
        <s v="利仁科技"/>
        <m/>
        <s v="天岳先进" u="1"/>
        <s v="金宏气体" u="1"/>
        <s v="六九一二" u="1"/>
        <s v="中国海防" u="1"/>
        <s v="泓博医药" u="1"/>
        <s v="星云股份" u="1"/>
        <s v="隆基绿能" u="1"/>
        <s v="国芯科技" u="1"/>
        <s v="福莱新材" u="1"/>
        <s v="山东白银" u="1"/>
      </sharedItems>
    </cacheField>
    <cacheField name="盈亏比例" uniqueList="1" numFmtId="10" sqlType="0" hierarchy="0" level="0" databaseField="1">
      <sharedItems count="20" containsMixedTypes="1" containsNumber="1">
        <n v="0.179480287162366"/>
        <n v="-0.0269026548672566"/>
        <n v="-0.0246729590991886"/>
        <n v="-0.14307791371539"/>
        <n v="0.15093220540745"/>
        <n v="-0.0520361990950225"/>
        <n v="-0.00180289416863217"/>
        <n v="-0.08298391028766459"/>
        <n v="-0.0686637495792662"/>
        <n v="-0.0962698349782166"/>
        <n v="-0.164614969605141"/>
        <n v="-0.0179683842857656"/>
        <n v="-0.0574817518248175"/>
        <n v="-0.000439753737906772"/>
        <n v="-0.210640216411181"/>
        <n v="0.130608175473579"/>
        <n v="-0.0452825005341718"/>
        <n v="-0.0371467025572004"/>
        <n v="0.0835684062059238"/>
        <e v="#DIV/0!"/>
      </sharedItems>
    </cacheField>
    <cacheField name="持仓成本" uniqueList="1" numFmtId="43" sqlType="0" hierarchy="0" level="0" databaseField="1">
      <sharedItems count="20" containsNumber="1" containsSemiMixedTypes="0" containsString="0" minValue="0" maxValue="596734.00875">
        <n v="596734.00875"/>
        <n v="500025"/>
        <n v="410652"/>
        <n v="100945"/>
        <n v="139596.4065"/>
        <n v="200668"/>
        <n v="200671.79"/>
        <n v="194845"/>
        <n v="249564"/>
        <n v="109108.89535"/>
        <n v="101091.11"/>
        <n v="333252"/>
        <n v="289344"/>
        <n v="200112"/>
        <n v="199620"/>
        <n v="507518"/>
        <n v="511071.6"/>
        <n v="52010"/>
        <n v="153144"/>
        <n v="0"/>
      </sharedItems>
    </cacheField>
    <cacheField name="持仓市值" uniqueList="1" numFmtId="43" sqlType="0" hierarchy="0" level="0" databaseField="1">
      <sharedItems count="20" containsInteger="1" containsNumber="1" containsSemiMixedTypes="0" containsString="0" minValue="0" maxValue="703836">
        <n v="703836"/>
        <n v="486573"/>
        <n v="400520"/>
        <n v="86502"/>
        <n v="160666"/>
        <n v="190226"/>
        <n v="200310"/>
        <n v="178676"/>
        <n v="232428"/>
        <n v="98605"/>
        <n v="84450"/>
        <n v="327264"/>
        <n v="272712"/>
        <n v="200024"/>
        <n v="157572"/>
        <n v="573804"/>
        <n v="487929"/>
        <n v="50078"/>
        <n v="165942"/>
        <n v="0"/>
      </sharedItems>
    </cacheField>
    <cacheField name="持仓股数" uniqueList="1" numFmtId="43" sqlType="0" hierarchy="0" level="0" databaseField="1">
      <sharedItems count="19" containsBlank="1" containsInteger="1" containsNumber="1" containsString="0" minValue="0" maxValue="45400">
        <n v="7600"/>
        <n v="17700"/>
        <n v="6800"/>
        <n v="1300"/>
        <n v="2948"/>
        <n v="45400"/>
        <n v="5500"/>
        <n v="1900"/>
        <n v="8400"/>
        <n v="2500"/>
        <n v="1200"/>
        <n v="2400"/>
        <n v="8800"/>
        <n v="3600"/>
        <n v="25300"/>
        <n v="3900"/>
        <n v="1400"/>
        <n v="5400"/>
        <m/>
      </sharedItems>
    </cacheField>
    <cacheField name="现价 " uniqueList="1" numFmtId="43" sqlType="0" hierarchy="0" level="0" databaseField="1">
      <sharedItems count="20" containsBlank="1" containsNumber="1" containsString="0" minValue="0" maxValue="272.72">
        <n v="92.61"/>
        <n v="27.49"/>
        <n v="58.9"/>
        <n v="66.54000000000001"/>
        <n v="54.5"/>
        <n v="4.19"/>
        <n v="36.42"/>
        <n v="94.04000000000001"/>
        <n v="27.67"/>
        <n v="75.84999999999999"/>
        <n v="33.78"/>
        <n v="272.72"/>
        <n v="113.63"/>
        <n v="22.73"/>
        <n v="43.77"/>
        <n v="22.68"/>
        <n v="125.11"/>
        <n v="35.77"/>
        <n v="30.73"/>
        <m/>
      </sharedItems>
    </cacheField>
    <cacheField name="成本价" uniqueList="1" numFmtId="43" sqlType="0" hierarchy="0" level="0" databaseField="1">
      <sharedItems count="20" containsBlank="1" containsNumber="1" containsString="0" minValue="0" maxValue="277.71">
        <n v="78.5176327302632"/>
        <n v="28.25"/>
        <n v="60.39"/>
        <n v="77.65000000000001"/>
        <n v="47.3529194369064"/>
        <n v="4.42"/>
        <n v="36.48578"/>
        <n v="102.55"/>
        <n v="29.71"/>
        <n v="83.9299195"/>
        <n v="40.436444"/>
        <n v="277.71"/>
        <n v="120.56"/>
        <n v="22.74"/>
        <n v="55.45"/>
        <n v="20.06"/>
        <n v="131.044"/>
        <n v="37.15"/>
        <n v="28.36"/>
        <m/>
      </sharedItems>
    </cacheField>
    <cacheField name="盈亏额" uniqueList="1" numFmtId="43" sqlType="0" hierarchy="0" level="0" databaseField="1">
      <sharedItems count="20" containsNumber="1" containsSemiMixedTypes="0" containsString="0" minValue="-42048" maxValue="107101.99125">
        <n v="107101.99125"/>
        <n v="-13452"/>
        <n v="-10132"/>
        <n v="-14443"/>
        <n v="21069.5934999999"/>
        <n v="-10442"/>
        <n v="-361.789999999979"/>
        <n v="-16169"/>
        <n v="-17136"/>
        <n v="-10503.89535"/>
        <n v="-16641.11"/>
        <n v="-5987.99999999994"/>
        <n v="-16632"/>
        <n v="-88"/>
        <n v="-42048"/>
        <n v="66286.0000000001"/>
        <n v="-23142.6"/>
        <n v="-1931.99999999999"/>
        <n v="12798"/>
        <n v="0"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MyPC" refreshedDate="46031.4552199074" createdVersion="5" refreshedVersion="5" minRefreshableVersion="3" recordCount="200" r:id="rId1">
  <cacheSource type="worksheet">
    <worksheetSource ref="B1:H201" sheet="当日交易记录"/>
  </cacheSource>
  <cacheFields count="7">
    <cacheField name="股票名称" uniqueList="1" numFmtId="0" sqlType="0" hierarchy="0" level="0" databaseField="1">
      <sharedItems count="29" containsBlank="1">
        <s v="国光电气"/>
        <s v="宏微科技"/>
        <s v="联创光电"/>
        <s v="山东黄金"/>
        <s v="斯达半导"/>
        <s v="西部黄金"/>
        <s v="中微公司"/>
        <s v="中芯国际"/>
        <m/>
        <s v="合锻智能" u="1"/>
        <s v="华润微" u="1"/>
        <s v="芯原股份" u="1"/>
        <s v="梦洁股份" u="1"/>
        <s v="士兰微" u="1"/>
        <s v="广立微" u="1"/>
        <s v="利仁科技" u="1"/>
        <s v="兆易创新" u="1"/>
        <s v="星云股份" u="1"/>
        <s v="紫光国微" u="1"/>
        <s v="奥联电子" u="1"/>
        <s v="通富微电" u="1"/>
        <s v="国芯科技" u="1"/>
        <s v="天岳先进" u="1"/>
        <s v="芯原" u="1"/>
        <s v="中国海防" u="1"/>
        <s v="六九一二" u="1"/>
        <s v="福莱新材" u="1"/>
        <s v="联芸科技" u="1"/>
        <s v="山东白银" u="1"/>
      </sharedItems>
    </cacheField>
    <cacheField name="成交价格" uniqueList="1" numFmtId="176" sqlType="0" hierarchy="0" level="0" databaseField="1">
      <sharedItems count="9" containsBlank="1" containsNumber="1" containsString="0" minValue="0" maxValue="338.18">
        <n v="113.54"/>
        <n v="32.97"/>
        <n v="72.19499999999999"/>
        <n v="42.826"/>
        <n v="101.814"/>
        <n v="28.7"/>
        <n v="338.18"/>
        <n v="129.52"/>
        <m/>
      </sharedItems>
    </cacheField>
    <cacheField name="成交股数" uniqueList="1" numFmtId="0" sqlType="0" hierarchy="0" level="0" databaseField="1">
      <sharedItems count="9" containsBlank="1" containsInteger="1" containsNumber="1" containsString="0" minValue="-1800" maxValue="7200">
        <n v="-1800"/>
        <n v="3000"/>
        <n v="-1500"/>
        <n v="2900"/>
        <n v="2000"/>
        <n v="7200"/>
        <n v="-700"/>
        <n v="-1600"/>
        <m/>
      </sharedItems>
    </cacheField>
    <cacheField name="手续费" uniqueList="1" numFmtId="176" sqlType="0" hierarchy="0" level="0" databaseField="1">
      <sharedItems count="9" containsMixedTypes="1" containsNumber="1">
        <n v="51.093"/>
        <n v="123.6375"/>
        <n v="27.073125"/>
        <n v="155.24425"/>
        <n v="254.535"/>
        <n v="258.3"/>
        <n v="59.1815"/>
        <n v="51.808"/>
        <s v=""/>
      </sharedItems>
    </cacheField>
    <cacheField name="交易收支" uniqueList="1" numFmtId="176" sqlType="0" hierarchy="0" level="0" databaseField="1">
      <sharedItems count="9" containsMixedTypes="1" containsNumber="1">
        <n v="-204423.093"/>
        <n v="98786.3625"/>
        <n v="-108319.573125"/>
        <n v="124040.15575"/>
        <n v="203373.465"/>
        <n v="206381.7"/>
        <n v="-236785.1815"/>
        <n v="-207283.808"/>
        <s v=""/>
      </sharedItems>
    </cacheField>
    <cacheField name="当前持仓股数" uniqueList="1" numFmtId="0" sqlType="0" hierarchy="0" level="0" databaseField="1">
      <sharedItems count="7" containsInteger="1" containsMixedTypes="1" containsNumber="1">
        <n v="6800"/>
        <n v="7800"/>
        <n v="3000"/>
        <n v="0"/>
        <n v="2900"/>
        <n v="4000"/>
        <s v=""/>
      </sharedItems>
    </cacheField>
    <cacheField name="交易许可" uniqueList="1" numFmtId="176" sqlType="0" hierarchy="0" level="0" databaseField="1">
      <sharedItems count="2">
        <s v=""/>
        <s v="该股票未持仓，仅可买入"/>
      </sharedItems>
    </cacheField>
  </cacheFields>
</pivotCacheDefinition>
</file>

<file path=xl/pivotCache/pivotCacheRecords1.xml><?xml version="1.0" encoding="utf-8"?>
<pivotCacheRecords xmlns="http://schemas.openxmlformats.org/spreadsheetml/2006/main" count="200">
  <r>
    <x v="0"/>
    <x v="0"/>
    <x v="0"/>
    <x v="0"/>
    <x v="0"/>
    <x v="0"/>
    <x v="0"/>
    <x v="0"/>
  </r>
  <r>
    <x v="1"/>
    <x v="1"/>
    <x v="1"/>
    <x v="1"/>
    <x v="1"/>
    <x v="1"/>
    <x v="1"/>
    <x v="1"/>
  </r>
  <r>
    <x v="2"/>
    <x v="2"/>
    <x v="2"/>
    <x v="2"/>
    <x v="2"/>
    <x v="2"/>
    <x v="2"/>
    <x v="2"/>
  </r>
  <r>
    <x v="3"/>
    <x v="3"/>
    <x v="3"/>
    <x v="3"/>
    <x v="3"/>
    <x v="3"/>
    <x v="3"/>
    <x v="3"/>
  </r>
  <r>
    <x v="4"/>
    <x v="4"/>
    <x v="4"/>
    <x v="4"/>
    <x v="4"/>
    <x v="4"/>
    <x v="4"/>
    <x v="4"/>
  </r>
  <r>
    <x v="5"/>
    <x v="5"/>
    <x v="5"/>
    <x v="5"/>
    <x v="5"/>
    <x v="5"/>
    <x v="5"/>
    <x v="5"/>
  </r>
  <r>
    <x v="6"/>
    <x v="6"/>
    <x v="6"/>
    <x v="6"/>
    <x v="6"/>
    <x v="6"/>
    <x v="6"/>
    <x v="6"/>
  </r>
  <r>
    <x v="7"/>
    <x v="7"/>
    <x v="7"/>
    <x v="7"/>
    <x v="7"/>
    <x v="7"/>
    <x v="7"/>
    <x v="7"/>
  </r>
  <r>
    <x v="8"/>
    <x v="8"/>
    <x v="8"/>
    <x v="8"/>
    <x v="8"/>
    <x v="8"/>
    <x v="8"/>
    <x v="8"/>
  </r>
  <r>
    <x v="9"/>
    <x v="9"/>
    <x v="9"/>
    <x v="9"/>
    <x v="3"/>
    <x v="9"/>
    <x v="9"/>
    <x v="9"/>
  </r>
  <r>
    <x v="10"/>
    <x v="10"/>
    <x v="10"/>
    <x v="10"/>
    <x v="9"/>
    <x v="10"/>
    <x v="10"/>
    <x v="10"/>
  </r>
  <r>
    <x v="11"/>
    <x v="11"/>
    <x v="11"/>
    <x v="11"/>
    <x v="10"/>
    <x v="11"/>
    <x v="11"/>
    <x v="11"/>
  </r>
  <r>
    <x v="12"/>
    <x v="12"/>
    <x v="12"/>
    <x v="12"/>
    <x v="11"/>
    <x v="12"/>
    <x v="12"/>
    <x v="12"/>
  </r>
  <r>
    <x v="13"/>
    <x v="13"/>
    <x v="13"/>
    <x v="13"/>
    <x v="12"/>
    <x v="13"/>
    <x v="13"/>
    <x v="13"/>
  </r>
  <r>
    <x v="14"/>
    <x v="14"/>
    <x v="14"/>
    <x v="14"/>
    <x v="13"/>
    <x v="14"/>
    <x v="14"/>
    <x v="14"/>
  </r>
  <r>
    <x v="15"/>
    <x v="15"/>
    <x v="15"/>
    <x v="15"/>
    <x v="14"/>
    <x v="15"/>
    <x v="15"/>
    <x v="15"/>
  </r>
  <r>
    <x v="16"/>
    <x v="16"/>
    <x v="16"/>
    <x v="16"/>
    <x v="15"/>
    <x v="16"/>
    <x v="16"/>
    <x v="16"/>
  </r>
  <r>
    <x v="17"/>
    <x v="17"/>
    <x v="17"/>
    <x v="17"/>
    <x v="16"/>
    <x v="17"/>
    <x v="17"/>
    <x v="17"/>
  </r>
  <r>
    <x v="18"/>
    <x v="18"/>
    <x v="18"/>
    <x v="18"/>
    <x v="17"/>
    <x v="18"/>
    <x v="18"/>
    <x v="18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  <r>
    <x v="19"/>
    <x v="19"/>
    <x v="19"/>
    <x v="19"/>
    <x v="18"/>
    <x v="19"/>
    <x v="19"/>
    <x v="19"/>
  </r>
</pivotCacheRecords>
</file>

<file path=xl/pivotCache/pivotCacheRecords2.xml><?xml version="1.0" encoding="utf-8"?>
<pivotCacheRecords xmlns="http://schemas.openxmlformats.org/spreadsheetml/2006/main" count="200">
  <r>
    <x v="0"/>
    <x v="0"/>
    <x v="0"/>
    <x v="0"/>
    <x v="0"/>
    <x v="0"/>
    <x v="0"/>
  </r>
  <r>
    <x v="1"/>
    <x v="1"/>
    <x v="1"/>
    <x v="1"/>
    <x v="1"/>
    <x v="1"/>
    <x v="0"/>
  </r>
  <r>
    <x v="2"/>
    <x v="2"/>
    <x v="2"/>
    <x v="2"/>
    <x v="2"/>
    <x v="2"/>
    <x v="0"/>
  </r>
  <r>
    <x v="3"/>
    <x v="3"/>
    <x v="3"/>
    <x v="3"/>
    <x v="3"/>
    <x v="3"/>
    <x v="1"/>
  </r>
  <r>
    <x v="4"/>
    <x v="4"/>
    <x v="4"/>
    <x v="4"/>
    <x v="4"/>
    <x v="4"/>
    <x v="0"/>
  </r>
  <r>
    <x v="5"/>
    <x v="5"/>
    <x v="5"/>
    <x v="5"/>
    <x v="5"/>
    <x v="3"/>
    <x v="1"/>
  </r>
  <r>
    <x v="6"/>
    <x v="6"/>
    <x v="6"/>
    <x v="6"/>
    <x v="6"/>
    <x v="3"/>
    <x v="1"/>
  </r>
  <r>
    <x v="7"/>
    <x v="7"/>
    <x v="7"/>
    <x v="7"/>
    <x v="7"/>
    <x v="5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  <r>
    <x v="8"/>
    <x v="8"/>
    <x v="8"/>
    <x v="8"/>
    <x v="8"/>
    <x v="6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数据透视表4" cacheId="1" dataOnRows="0" dataCaption="值" showError="0" showMissing="1" updatedVersion="5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5" indent="0" showEmptyRow="0" showEmptyCol="0" showHeaders="1" compact="0" outline="1" outlineData="1" compactData="0" published="0" gridDropZones="0" immersive="1" multipleFieldFilters="0" chartFormat="8" fieldListSortAscending="0" mdxSubqueries="0" autoFormatId="1" applyNumberFormats="0" applyBorderFormats="0" applyFontFormats="0" applyPatternFormats="0" applyAlignmentFormats="0" applyWidthHeightFormats="1" r:id="rId1">
  <location ref="K5:M26" firstHeaderRow="0" firstDataRow="1" firstDataCol="1"/>
  <pivotFields count="8">
    <pivotField axis="axisRow" showDropDowns="1" compact="0" outline="1" subtotalTop="1" dragToRow="1" dragToCol="1" dragToPage="1" dragToData="1" dragOff="1" showAll="0" topAutoShow="1" itemPageCount="10" sortType="manual" defaultSubtotal="1">
      <items count="31">
        <item t="data" sd="1" m="1" x="28"/>
        <item t="data" sd="1" x="10"/>
        <item t="data" sd="1" x="3"/>
        <item t="data" sd="1" x="0"/>
        <item t="data" sd="1" m="1" x="27"/>
        <item t="data" sd="1" x="13"/>
        <item t="data" sd="1" x="1"/>
        <item t="data" sd="1" m="1" x="24"/>
        <item t="data" sd="1" x="4"/>
        <item t="data" sd="1" m="1" x="21"/>
        <item t="data" sd="1" x="2"/>
        <item t="data" sd="1" x="14"/>
        <item t="data" sd="1" m="1" x="22"/>
        <item t="data" sd="1" m="1" x="26"/>
        <item t="data" sd="1" m="1" x="29"/>
        <item t="data" sd="1" x="6"/>
        <item t="data" sd="1" x="8"/>
        <item t="data" sd="1" x="7"/>
        <item t="data" sd="1" m="1" x="20"/>
        <item t="data" sd="1" m="1" x="25"/>
        <item t="data" sd="1" m="1" x="23"/>
        <item t="data" sd="1" x="12"/>
        <item t="data" sd="1" x="19"/>
        <item t="data" sd="1" x="5"/>
        <item t="data" sd="1" x="16"/>
        <item t="data" sd="1" x="9"/>
        <item t="data" sd="1" x="11"/>
        <item t="data" sd="1" x="15"/>
        <item t="data" sd="1" x="17"/>
        <item t="data" sd="1" x="18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>
      <items count="2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>
      <items count="21">
        <item t="data" sd="1" x="3"/>
        <item t="data" sd="1" x="5"/>
        <item t="data" sd="1" x="6"/>
        <item t="data" sd="1" x="10"/>
        <item t="data" sd="1" x="13"/>
        <item t="data" sd="1" x="0"/>
        <item t="data" sd="1" x="1"/>
        <item t="data" sd="1" x="2"/>
        <item t="data" sd="1" x="4"/>
        <item t="data" sd="1" x="7"/>
        <item t="data" sd="1" x="8"/>
        <item t="data" sd="1" x="9"/>
        <item t="data" sd="1" x="11"/>
        <item t="data" sd="1" x="12"/>
        <item t="data" sd="1" x="14"/>
        <item t="data" sd="1" x="15"/>
        <item t="data" sd="1" x="16"/>
        <item t="data" sd="1" x="17"/>
        <item t="data" sd="1" x="18"/>
        <item t="data" sd="1" x="19"/>
        <item t="default" sd="1"/>
      </items>
    </pivotField>
    <pivotField dataField="1" showDropDowns="1" compact="0" numFmtId="176" outline="1" subtotalTop="1" dragToRow="1" dragToCol="1" dragToPage="1" dragToData="1" dragOff="1" showAll="0" topAutoShow="1" itemPageCount="10" sortType="manual" defaultSubtotal="1">
      <items count="21">
        <item t="data" sd="1" x="19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efault" sd="1"/>
      </items>
    </pivotField>
    <pivotField dataField="1" showDropDowns="1" compact="0" outline="1" subtotalTop="1" dragToRow="1" dragToCol="1" dragToPage="1" dragToData="1" dragOff="1" showAll="0" topAutoShow="1" itemPageCount="10" sortType="manual" defaultSubtotal="1">
      <items count="20">
        <item t="data" sd="1" x="3"/>
        <item t="data" sd="1" x="11"/>
        <item t="data" sd="1" x="9"/>
        <item t="data" sd="1" x="13"/>
        <item t="data" sd="1" x="6"/>
        <item t="data" sd="1" x="2"/>
        <item t="data" sd="1" x="12"/>
        <item t="data" sd="1" x="18"/>
        <item t="data" sd="1" x="17"/>
        <item t="data" sd="1" x="5"/>
        <item t="data" sd="1" x="16"/>
        <item t="data" sd="1" x="0"/>
        <item t="data" sd="1" x="1"/>
        <item t="data" sd="1" x="4"/>
        <item t="data" sd="1" x="7"/>
        <item t="data" sd="1" x="8"/>
        <item t="data" sd="1" x="10"/>
        <item t="data" sd="1" x="14"/>
        <item t="data" sd="1" x="15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>
      <items count="21">
        <item t="data" sd="1" x="19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/>
    <pivotField showDropDowns="1" compact="0" numFmtId="43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21">
    <i t="data" r="0" i="0">
      <x v="1"/>
    </i>
    <i t="data" r="0" i="0">
      <x v="2"/>
    </i>
    <i t="data" r="0" i="0">
      <x v="3"/>
    </i>
    <i t="data" r="0" i="0">
      <x v="5"/>
    </i>
    <i t="data" r="0" i="0">
      <x v="6"/>
    </i>
    <i t="data" r="0" i="0">
      <x v="8"/>
    </i>
    <i t="data" r="0" i="0">
      <x v="10"/>
    </i>
    <i t="data" r="0" i="0">
      <x v="11"/>
    </i>
    <i t="data" r="0" i="0">
      <x v="15"/>
    </i>
    <i t="data" r="0" i="0">
      <x v="16"/>
    </i>
    <i t="data" r="0" i="0">
      <x v="17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求和项:持仓股数" fld="4" subtotal="sum" showDataAs="normal" baseField="0" baseItem="0"/>
    <dataField name="求和项:持仓市值" fld="3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数据透视表3" cacheId="0" dataOnRows="0" dataCaption="值" showError="0" showMissing="1" updatedVersion="5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5" indent="0" showEmptyRow="0" showEmptyCol="0" showHeaders="1" compact="0" outline="1" outlineData="1" compactData="0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J2:L12" firstHeaderRow="0" firstDataRow="1" firstDataCol="1"/>
  <pivotFields count="7">
    <pivotField axis="axisRow" showDropDowns="1" compact="0" outline="1" subtotalTop="1" dragToRow="1" dragToCol="1" multipleItemSelectionAllowed="1" dragToPage="1" dragToData="1" dragOff="1" showAll="0" topAutoShow="1" itemPageCount="10" sortType="manual" defaultSubtotal="1">
      <items count="30">
        <item t="data" sd="1" m="1" x="26"/>
        <item t="data" sd="1" x="2"/>
        <item t="data" sd="1" m="1" x="27"/>
        <item t="data" sd="1" x="3"/>
        <item t="data" sd="1" m="1" x="22"/>
        <item t="data" sd="1" m="1" x="17"/>
        <item t="data" sd="1" x="8"/>
        <item t="data" sd="1" m="1" x="28"/>
        <item t="data" sd="1" m="1" x="11"/>
        <item t="data" sd="1" x="7"/>
        <item t="data" sd="1" m="1" x="24"/>
        <item t="data" sd="1" m="1" x="25"/>
        <item t="data" sd="1" m="1" x="19"/>
        <item t="data" sd="1" m="1" x="23"/>
        <item t="data" sd="1" m="1" x="21"/>
        <item t="data" sd="1" m="1" x="10"/>
        <item t="data" sd="1" x="1"/>
        <item t="data" sd="1" x="6"/>
        <item t="data" sd="1" m="1" x="16"/>
        <item t="data" sd="1" m="1" x="20"/>
        <item t="data" sd="1" m="1" x="18"/>
        <item t="data" sd="1" x="0"/>
        <item t="data" sd="1" m="1" x="15"/>
        <item t="data" sd="1" m="1" x="14"/>
        <item t="data" sd="1" x="4"/>
        <item t="data" sd="1" m="1" x="9"/>
        <item t="data" sd="1" m="1" x="12"/>
        <item t="data" sd="1" m="1" x="13"/>
        <item t="data" sd="1" x="5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/>
    <pivotField dataField="1" showDropDowns="1" compact="0" outline="1" subtotalTop="1" dragToRow="1" dragToCol="1" dragToPage="1" dragToData="1" dragOff="1" showAll="0" topAutoShow="1" itemPageCount="10" sortType="manual" defaultSubtotal="1">
      <items count="10">
        <item t="data" sd="1" x="8"/>
        <item t="data" sd="1" x="1"/>
        <item t="data" sd="1" x="4"/>
        <item t="data" sd="1" x="0"/>
        <item t="data" sd="1" x="2"/>
        <item t="data" sd="1" x="3"/>
        <item t="data" sd="1" x="5"/>
        <item t="data" sd="1" x="6"/>
        <item t="data" sd="1" x="7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/>
    <pivotField dataField="1" showDropDowns="1" compact="0" outline="1" subtotalTop="1" dragToRow="1" dragToCol="1" dragToPage="1" dragToData="1" dragOff="1" showAll="0" topAutoShow="1" itemPageCount="10" sortType="manual" defaultSubtotal="1">
      <items count="10">
        <item t="data" sd="1" x="8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10">
    <i t="data" r="0" i="0">
      <x v="1"/>
    </i>
    <i t="data" r="0" i="0">
      <x v="3"/>
    </i>
    <i t="data" r="0" i="0">
      <x v="6"/>
    </i>
    <i t="data" r="0" i="0">
      <x v="9"/>
    </i>
    <i t="data" r="0" i="0">
      <x v="16"/>
    </i>
    <i t="data" r="0" i="0">
      <x v="17"/>
    </i>
    <i t="data" r="0" i="0">
      <x v="21"/>
    </i>
    <i t="data" r="0" i="0">
      <x v="24"/>
    </i>
    <i t="data" r="0" i="0">
      <x v="28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总卖出股数" fld="2" subtotal="sum" showDataAs="normal" baseField="0" baseItem="0"/>
    <dataField name="总盈亏" fld="4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pivotTable" Target="/xl/pivotTables/pivotTable1.xml" Id="rId2"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sheet1.xml><?xml version="1.0" encoding="utf-8"?>
<worksheet xmlns="http://schemas.openxmlformats.org/spreadsheetml/2006/main">
  <sheetPr codeName="Sheet1" filterMode="1">
    <outlinePr summaryBelow="1" summaryRight="1"/>
    <pageSetUpPr/>
  </sheetPr>
  <dimension ref="A1:M277"/>
  <sheetViews>
    <sheetView tabSelected="1" zoomScale="85" zoomScaleNormal="85" workbookViewId="0">
      <selection activeCell="G4" sqref="G4"/>
    </sheetView>
  </sheetViews>
  <sheetFormatPr baseColWidth="8" defaultColWidth="9" defaultRowHeight="15" outlineLevelCol="0"/>
  <cols>
    <col width="7.2" customWidth="1" style="2" min="1" max="1"/>
    <col width="16.6095238095238" customWidth="1" style="2" min="2" max="2"/>
    <col width="13.8285714285714" customWidth="1" style="29" min="3" max="3"/>
    <col width="20.8761904761905" customWidth="1" style="29" min="4" max="4"/>
    <col width="21.3142857142857" customWidth="1" style="29" min="5" max="5"/>
    <col width="20.2952380952381" customWidth="1" style="29" min="6" max="6"/>
    <col width="13.8285714285714" customWidth="1" style="29" min="7" max="8"/>
    <col width="20.752380952381" customWidth="1" style="22" min="9" max="9"/>
    <col width="9" customWidth="1" style="22" min="10" max="10"/>
    <col width="11.3714285714286" customWidth="1" style="29" min="11" max="11"/>
    <col width="16.1238095238095" customWidth="1" style="30" min="12" max="13"/>
  </cols>
  <sheetData>
    <row r="1" ht="38" customHeight="1" s="30">
      <c r="A1" s="4" t="inlineStr">
        <is>
          <t>小组波段汇总表</t>
        </is>
      </c>
    </row>
    <row r="2" ht="21" customFormat="1" customHeight="1" s="22">
      <c r="A2" s="5" t="inlineStr">
        <is>
          <t>序号</t>
        </is>
      </c>
      <c r="B2" s="5" t="inlineStr">
        <is>
          <t>股票名称</t>
        </is>
      </c>
      <c r="C2" s="31" t="inlineStr">
        <is>
          <t>盈亏比例</t>
        </is>
      </c>
      <c r="D2" s="31" t="inlineStr">
        <is>
          <t>持仓成本</t>
        </is>
      </c>
      <c r="E2" s="31" t="inlineStr">
        <is>
          <t>持仓市值</t>
        </is>
      </c>
      <c r="F2" s="5" t="inlineStr">
        <is>
          <t>持仓股数</t>
        </is>
      </c>
      <c r="G2" s="31" t="inlineStr">
        <is>
          <t xml:space="preserve">现价 </t>
        </is>
      </c>
      <c r="H2" s="31" t="inlineStr">
        <is>
          <t>成本价</t>
        </is>
      </c>
      <c r="I2" s="31" t="inlineStr">
        <is>
          <t>盈亏额</t>
        </is>
      </c>
      <c r="J2" s="2" t="n"/>
      <c r="K2" s="32" t="inlineStr">
        <is>
          <t>资金总额</t>
        </is>
      </c>
      <c r="L2" s="16" t="inlineStr">
        <is>
          <t>资金余额</t>
        </is>
      </c>
    </row>
    <row r="3" ht="21" customHeight="1" s="30">
      <c r="A3" s="7" t="n">
        <v>1</v>
      </c>
      <c r="B3" s="33" t="inlineStr">
        <is>
          <t>国光电气</t>
        </is>
      </c>
      <c r="C3" s="9">
        <f>I3/D3</f>
        <v/>
      </c>
      <c r="D3" s="34">
        <f>H3*F3</f>
        <v/>
      </c>
      <c r="E3" s="34">
        <f>G3*F3</f>
        <v/>
      </c>
      <c r="F3" s="34" t="n">
        <v>6800</v>
      </c>
      <c r="G3" s="34" t="n">
        <v>125.8</v>
      </c>
      <c r="H3" s="34" t="n">
        <v>76.47</v>
      </c>
      <c r="I3" s="34">
        <f>E3-H3*F3</f>
        <v/>
      </c>
      <c r="K3" s="35" t="n">
        <v>5000000</v>
      </c>
      <c r="L3" s="18">
        <f>K3-D203</f>
        <v/>
      </c>
      <c r="M3" s="0">
        <f>IF(L3&lt;=0,"余额不足","")</f>
        <v/>
      </c>
    </row>
    <row r="4" ht="21" customHeight="1" s="30">
      <c r="A4" s="7" t="n">
        <v>2</v>
      </c>
      <c r="B4" s="33" t="inlineStr">
        <is>
          <t>宏微科技</t>
        </is>
      </c>
      <c r="C4" s="9">
        <f>I4/D4</f>
        <v/>
      </c>
      <c r="D4" s="34">
        <f>H4*F4</f>
        <v/>
      </c>
      <c r="E4" s="34">
        <f>G4*F4</f>
        <v/>
      </c>
      <c r="F4" s="34" t="n">
        <v>13800</v>
      </c>
      <c r="G4" s="34" t="n">
        <v>31.17</v>
      </c>
      <c r="H4" s="34" t="n">
        <v>27.41</v>
      </c>
      <c r="I4" s="34">
        <f>E4-H4*F4</f>
        <v/>
      </c>
    </row>
    <row r="5" ht="21" customHeight="1" s="30">
      <c r="A5" s="7" t="n">
        <v>3</v>
      </c>
      <c r="B5" s="33" t="inlineStr">
        <is>
          <t>联创光电</t>
        </is>
      </c>
      <c r="C5" s="9">
        <f>I5/D5</f>
        <v/>
      </c>
      <c r="D5" s="34">
        <f>H5*F5</f>
        <v/>
      </c>
      <c r="E5" s="34">
        <f>G5*F5</f>
        <v/>
      </c>
      <c r="F5" s="34" t="n">
        <v>5500</v>
      </c>
      <c r="G5" s="34" t="n">
        <v>70.73</v>
      </c>
      <c r="H5" s="34" t="n">
        <v>71.03</v>
      </c>
      <c r="I5" s="34">
        <f>E5-H5*F5</f>
        <v/>
      </c>
      <c r="K5" s="0" t="inlineStr">
        <is>
          <t>股票名称</t>
        </is>
      </c>
      <c r="L5" s="0" t="inlineStr">
        <is>
          <t>求和项:持仓股数</t>
        </is>
      </c>
      <c r="M5" s="0" t="inlineStr">
        <is>
          <t>求和项:持仓市值</t>
        </is>
      </c>
    </row>
    <row r="6" ht="21" customHeight="1" s="30">
      <c r="A6" s="7" t="n">
        <v>4</v>
      </c>
      <c r="B6" s="33" t="inlineStr">
        <is>
          <t>广立微</t>
        </is>
      </c>
      <c r="C6" s="9">
        <f>I6/D6</f>
        <v/>
      </c>
      <c r="D6" s="34">
        <f>H6*F6</f>
        <v/>
      </c>
      <c r="E6" s="34">
        <f>G6*F6</f>
        <v/>
      </c>
      <c r="F6" s="34" t="n">
        <v>7300</v>
      </c>
      <c r="G6" s="34" t="n">
        <v>78.78</v>
      </c>
      <c r="H6" s="34" t="n">
        <v>75.23</v>
      </c>
      <c r="I6" s="34">
        <f>E6-H6*F6</f>
        <v/>
      </c>
      <c r="K6" s="0" t="inlineStr">
        <is>
          <t>概伦电子</t>
        </is>
      </c>
      <c r="L6" s="0" t="n">
        <v>2500</v>
      </c>
      <c r="M6" s="0" t="n">
        <v>84450</v>
      </c>
    </row>
    <row r="7" ht="21" customHeight="1" s="30">
      <c r="A7" s="7" t="n">
        <v>5</v>
      </c>
      <c r="B7" s="33" t="inlineStr">
        <is>
          <t>华润微</t>
        </is>
      </c>
      <c r="C7" s="9">
        <f>I7/D7</f>
        <v/>
      </c>
      <c r="D7" s="34">
        <f>H7*F7</f>
        <v/>
      </c>
      <c r="E7" s="34">
        <f>G7*F7</f>
        <v/>
      </c>
      <c r="F7" s="34" t="n">
        <v>6548</v>
      </c>
      <c r="G7" s="34" t="n">
        <v>60.33</v>
      </c>
      <c r="H7" s="34" t="n">
        <v>54.72</v>
      </c>
      <c r="I7" s="34">
        <f>E7-H7*F7</f>
        <v/>
      </c>
      <c r="K7" s="0" t="inlineStr">
        <is>
          <t>广立微</t>
        </is>
      </c>
      <c r="L7" s="0" t="n">
        <v>1300</v>
      </c>
      <c r="M7" s="0" t="n">
        <v>86502</v>
      </c>
    </row>
    <row r="8" hidden="1" ht="21" customHeight="1" s="30">
      <c r="A8" s="7" t="n">
        <v>6</v>
      </c>
      <c r="B8" s="33" t="n"/>
      <c r="C8" s="9">
        <f>I8/D8</f>
        <v/>
      </c>
      <c r="D8" s="34">
        <f>H8*F8</f>
        <v/>
      </c>
      <c r="E8" s="34">
        <f>G8*F8</f>
        <v/>
      </c>
      <c r="F8" s="34" t="n"/>
      <c r="G8" s="34" t="inlineStr">
        <is>
          <t>ERROR</t>
        </is>
      </c>
      <c r="H8" s="34" t="n"/>
      <c r="I8" s="34">
        <f>E8-H8*F8</f>
        <v/>
      </c>
      <c r="K8" s="0" t="inlineStr">
        <is>
          <t>国光电气</t>
        </is>
      </c>
      <c r="L8" s="0" t="n">
        <v>7600</v>
      </c>
      <c r="M8" s="0" t="n">
        <v>703836</v>
      </c>
    </row>
    <row r="9" ht="21" customHeight="1" s="30">
      <c r="A9" s="7" t="n">
        <v>7</v>
      </c>
      <c r="B9" s="33" t="inlineStr">
        <is>
          <t>斯达半导</t>
        </is>
      </c>
      <c r="C9" s="9">
        <f>I9/D9</f>
        <v/>
      </c>
      <c r="D9" s="34">
        <f>H9*F9</f>
        <v/>
      </c>
      <c r="E9" s="34">
        <f>G9*F9</f>
        <v/>
      </c>
      <c r="F9" s="34" t="n">
        <v>3900</v>
      </c>
      <c r="G9" s="34" t="inlineStr">
        <is>
          <t>ERROR</t>
        </is>
      </c>
      <c r="H9" s="34" t="n">
        <v>101.61</v>
      </c>
      <c r="I9" s="34">
        <f>E9-H9*F9</f>
        <v/>
      </c>
      <c r="K9" s="0" t="inlineStr">
        <is>
          <t>合锻智能</t>
        </is>
      </c>
      <c r="L9" s="0" t="n">
        <v>8800</v>
      </c>
      <c r="M9" s="0" t="n">
        <v>200024</v>
      </c>
    </row>
    <row r="10" ht="21" customHeight="1" s="30">
      <c r="A10" s="7" t="n">
        <v>8</v>
      </c>
      <c r="B10" s="33" t="inlineStr">
        <is>
          <t>士兰微</t>
        </is>
      </c>
      <c r="C10" s="9">
        <f>I10/D10</f>
        <v/>
      </c>
      <c r="D10" s="34">
        <f>H10*F10</f>
        <v/>
      </c>
      <c r="E10" s="34">
        <f>G10*F10</f>
        <v/>
      </c>
      <c r="F10" s="34" t="n">
        <v>19300</v>
      </c>
      <c r="G10" s="34" t="inlineStr">
        <is>
          <t>ERROR</t>
        </is>
      </c>
      <c r="H10" s="34" t="n">
        <v>29.51</v>
      </c>
      <c r="I10" s="34">
        <f>E10-H10*F10</f>
        <v/>
      </c>
      <c r="K10" s="0" t="inlineStr">
        <is>
          <t>宏微科技</t>
        </is>
      </c>
      <c r="L10" s="0" t="n">
        <v>17700</v>
      </c>
      <c r="M10" s="0" t="n">
        <v>486573</v>
      </c>
    </row>
    <row r="11" ht="21" customHeight="1" s="30">
      <c r="A11" s="7" t="n">
        <v>9</v>
      </c>
      <c r="B11" s="33" t="inlineStr">
        <is>
          <t>紫光国微</t>
        </is>
      </c>
      <c r="C11" s="9">
        <f>I11/D11</f>
        <v/>
      </c>
      <c r="D11" s="34">
        <f>H11*F11</f>
        <v/>
      </c>
      <c r="E11" s="34">
        <f>G11*F11</f>
        <v/>
      </c>
      <c r="F11" s="34" t="n">
        <v>1300</v>
      </c>
      <c r="G11" s="34" t="inlineStr">
        <is>
          <t>ERROR</t>
        </is>
      </c>
      <c r="H11" s="34" t="n">
        <v>83.9299195</v>
      </c>
      <c r="I11" s="34">
        <f>E11-H11*F11</f>
        <v/>
      </c>
      <c r="K11" s="0" t="inlineStr">
        <is>
          <t>华润微</t>
        </is>
      </c>
      <c r="L11" s="0" t="n">
        <v>2948</v>
      </c>
      <c r="M11" s="0" t="n">
        <v>160666</v>
      </c>
    </row>
    <row r="12" ht="21" customHeight="1" s="30">
      <c r="A12" s="7" t="n">
        <v>10</v>
      </c>
      <c r="B12" s="33" t="inlineStr">
        <is>
          <t>概伦电子</t>
        </is>
      </c>
      <c r="C12" s="9">
        <f>I12/D12</f>
        <v/>
      </c>
      <c r="D12" s="34">
        <f>H12*F12</f>
        <v/>
      </c>
      <c r="E12" s="34">
        <f>G12*F12</f>
        <v/>
      </c>
      <c r="F12" s="34" t="n">
        <v>2500</v>
      </c>
      <c r="G12" s="34" t="inlineStr">
        <is>
          <t>ERROR</t>
        </is>
      </c>
      <c r="H12" s="34" t="n">
        <v>40.436444</v>
      </c>
      <c r="I12" s="34">
        <f>E12-H12*F12</f>
        <v/>
      </c>
      <c r="K12" s="0" t="inlineStr">
        <is>
          <t>联创光电</t>
        </is>
      </c>
      <c r="L12" s="0" t="n">
        <v>6800</v>
      </c>
      <c r="M12" s="0" t="n">
        <v>400520</v>
      </c>
    </row>
    <row r="13" ht="21" customHeight="1" s="30">
      <c r="A13" s="7" t="n">
        <v>11</v>
      </c>
      <c r="B13" s="33" t="inlineStr">
        <is>
          <t>中芯国际</t>
        </is>
      </c>
      <c r="C13" s="9">
        <f>I13/D13</f>
        <v/>
      </c>
      <c r="D13" s="34">
        <f>H13*F13</f>
        <v/>
      </c>
      <c r="E13" s="34">
        <f>G13*F13</f>
        <v/>
      </c>
      <c r="F13" s="34" t="n">
        <v>8100</v>
      </c>
      <c r="G13" s="34" t="inlineStr">
        <is>
          <t>ERROR</t>
        </is>
      </c>
      <c r="H13" s="34" t="n">
        <v>124.25</v>
      </c>
      <c r="I13" s="34">
        <f>E13-H13*F13</f>
        <v/>
      </c>
      <c r="K13" s="0" t="inlineStr">
        <is>
          <t>联芸科技</t>
        </is>
      </c>
      <c r="L13" s="0" t="n">
        <v>3600</v>
      </c>
      <c r="M13" s="0" t="n">
        <v>157572</v>
      </c>
    </row>
    <row r="14" hidden="1" ht="21" customHeight="1" s="30">
      <c r="A14" s="7" t="n">
        <v>12</v>
      </c>
      <c r="B14" s="33" t="n"/>
      <c r="C14" s="9">
        <f>I14/D14</f>
        <v/>
      </c>
      <c r="D14" s="34">
        <f>H14*F14</f>
        <v/>
      </c>
      <c r="E14" s="34">
        <f>G14*F14</f>
        <v/>
      </c>
      <c r="F14" s="34" t="n"/>
      <c r="G14" s="34" t="inlineStr">
        <is>
          <t>ERROR</t>
        </is>
      </c>
      <c r="H14" s="34" t="n"/>
      <c r="I14" s="34">
        <f>E14-H14*F14</f>
        <v/>
      </c>
      <c r="K14" s="0" t="inlineStr">
        <is>
          <t>山东黄金</t>
        </is>
      </c>
      <c r="L14" s="0" t="n">
        <v>5500</v>
      </c>
      <c r="M14" s="0" t="n">
        <v>200310</v>
      </c>
    </row>
    <row r="15" ht="21" customHeight="1" s="30">
      <c r="A15" s="7" t="n">
        <v>13</v>
      </c>
      <c r="B15" s="33" t="inlineStr">
        <is>
          <t>联芸科技</t>
        </is>
      </c>
      <c r="C15" s="9">
        <f>I15/D15</f>
        <v/>
      </c>
      <c r="D15" s="34">
        <f>H15*F15</f>
        <v/>
      </c>
      <c r="E15" s="34">
        <f>G15*F15</f>
        <v/>
      </c>
      <c r="F15" s="34" t="n">
        <v>3600</v>
      </c>
      <c r="G15" s="34" t="inlineStr">
        <is>
          <t>ERROR</t>
        </is>
      </c>
      <c r="H15" s="34" t="n">
        <v>55.45</v>
      </c>
      <c r="I15" s="34">
        <f>E15-H15*F15</f>
        <v/>
      </c>
      <c r="K15" s="0" t="inlineStr">
        <is>
          <t>士兰微</t>
        </is>
      </c>
      <c r="L15" s="0" t="n">
        <v>8400</v>
      </c>
      <c r="M15" s="0" t="n">
        <v>232428</v>
      </c>
    </row>
    <row r="16" hidden="1" ht="21" customHeight="1" s="30">
      <c r="A16" s="7" t="n">
        <v>14</v>
      </c>
      <c r="B16" s="33" t="n"/>
      <c r="C16" s="9">
        <f>I16/D16</f>
        <v/>
      </c>
      <c r="D16" s="34">
        <f>H16*F16</f>
        <v/>
      </c>
      <c r="E16" s="34">
        <f>G16*F16</f>
        <v/>
      </c>
      <c r="F16" s="34" t="n"/>
      <c r="G16" s="34" t="inlineStr">
        <is>
          <t>ERROR</t>
        </is>
      </c>
      <c r="H16" s="34" t="n"/>
      <c r="I16" s="34">
        <f>E16-H16*F16</f>
        <v/>
      </c>
      <c r="K16" s="0" t="inlineStr">
        <is>
          <t>斯达半导</t>
        </is>
      </c>
      <c r="L16" s="0" t="n">
        <v>1900</v>
      </c>
      <c r="M16" s="0" t="n">
        <v>178676</v>
      </c>
    </row>
    <row r="17" hidden="1" ht="21" customHeight="1" s="30">
      <c r="A17" s="7" t="n">
        <v>15</v>
      </c>
      <c r="B17" s="33" t="n"/>
      <c r="C17" s="9">
        <f>I17/D17</f>
        <v/>
      </c>
      <c r="D17" s="34">
        <f>H17*F17</f>
        <v/>
      </c>
      <c r="E17" s="34">
        <f>G17*F17</f>
        <v/>
      </c>
      <c r="F17" s="34" t="n"/>
      <c r="G17" s="34" t="inlineStr">
        <is>
          <t>ERROR</t>
        </is>
      </c>
      <c r="H17" s="34" t="n"/>
      <c r="I17" s="34">
        <f>E17-H17*F17</f>
        <v/>
      </c>
      <c r="K17" s="0" t="inlineStr">
        <is>
          <t>中芯国际</t>
        </is>
      </c>
      <c r="L17" s="0" t="n">
        <v>2400</v>
      </c>
      <c r="M17" s="0" t="n">
        <v>272712</v>
      </c>
    </row>
    <row r="18" ht="21" customHeight="1" s="30">
      <c r="A18" s="7" t="n">
        <v>16</v>
      </c>
      <c r="B18" s="33" t="inlineStr">
        <is>
          <t>比亚迪</t>
        </is>
      </c>
      <c r="C18" s="9">
        <f>I18/D18</f>
        <v/>
      </c>
      <c r="D18" s="34">
        <f>H18*F18</f>
        <v/>
      </c>
      <c r="E18" s="34">
        <f>G18*F18</f>
        <v/>
      </c>
      <c r="F18" s="34" t="n">
        <v>1000</v>
      </c>
      <c r="G18" s="34" t="inlineStr">
        <is>
          <t>ERROR</t>
        </is>
      </c>
      <c r="H18" s="34" t="n">
        <v>97.64</v>
      </c>
      <c r="I18" s="34">
        <f>E18-H18*F18</f>
        <v/>
      </c>
      <c r="K18" s="0" t="inlineStr">
        <is>
          <t>(空白)</t>
        </is>
      </c>
      <c r="M18" s="0" t="n">
        <v>0</v>
      </c>
    </row>
    <row r="19" hidden="1" ht="21" customHeight="1" s="30">
      <c r="A19" s="7" t="n">
        <v>17</v>
      </c>
      <c r="B19" s="33" t="n"/>
      <c r="C19" s="9">
        <f>I19/D19</f>
        <v/>
      </c>
      <c r="D19" s="34">
        <f>H19*F19</f>
        <v/>
      </c>
      <c r="E19" s="34">
        <f>G19*F19</f>
        <v/>
      </c>
      <c r="F19" s="34" t="n"/>
      <c r="G19" s="34" t="inlineStr">
        <is>
          <t>ERROR</t>
        </is>
      </c>
      <c r="H19" s="34" t="n"/>
      <c r="I19" s="34">
        <f>E19-H19*F19</f>
        <v/>
      </c>
      <c r="K19" s="0" t="inlineStr">
        <is>
          <t>梦洁股份</t>
        </is>
      </c>
      <c r="L19" s="0" t="n">
        <v>45400</v>
      </c>
      <c r="M19" s="0" t="n">
        <v>190226</v>
      </c>
    </row>
    <row r="20" hidden="1" ht="21" customHeight="1" s="30">
      <c r="A20" s="7" t="n">
        <v>18</v>
      </c>
      <c r="B20" s="34" t="n"/>
      <c r="C20" s="9">
        <f>I20/D20</f>
        <v/>
      </c>
      <c r="D20" s="34">
        <f>H20*F20</f>
        <v/>
      </c>
      <c r="E20" s="34">
        <f>G20*F20</f>
        <v/>
      </c>
      <c r="F20" s="34" t="n"/>
      <c r="G20" s="34" t="inlineStr">
        <is>
          <t>ERROR</t>
        </is>
      </c>
      <c r="H20" s="34" t="n"/>
      <c r="I20" s="34">
        <f>E20-H20*F20</f>
        <v/>
      </c>
      <c r="K20" s="0" t="inlineStr">
        <is>
          <t>芯原股份</t>
        </is>
      </c>
      <c r="L20" s="0" t="n">
        <v>3900</v>
      </c>
      <c r="M20" s="0" t="n">
        <v>487929</v>
      </c>
    </row>
    <row r="21" hidden="1" ht="21" customHeight="1" s="30">
      <c r="A21" s="7" t="n">
        <v>19</v>
      </c>
      <c r="B21" s="34" t="n"/>
      <c r="C21" s="9">
        <f>I21/D21</f>
        <v/>
      </c>
      <c r="D21" s="34">
        <f>H21*F21</f>
        <v/>
      </c>
      <c r="E21" s="34">
        <f>G21*F21</f>
        <v/>
      </c>
      <c r="F21" s="34" t="n"/>
      <c r="G21" s="34" t="inlineStr">
        <is>
          <t>ERROR</t>
        </is>
      </c>
      <c r="H21" s="34" t="n"/>
      <c r="I21" s="34">
        <f>E21-H21*F21</f>
        <v/>
      </c>
      <c r="K21" s="0" t="inlineStr">
        <is>
          <t>紫光国微</t>
        </is>
      </c>
      <c r="L21" s="0" t="n">
        <v>1300</v>
      </c>
      <c r="M21" s="0" t="n">
        <v>98605</v>
      </c>
    </row>
    <row r="22" hidden="1" ht="21" customHeight="1" s="30">
      <c r="A22" s="7" t="n">
        <v>20</v>
      </c>
      <c r="B22" s="34" t="n"/>
      <c r="C22" s="9">
        <f>I22/D22</f>
        <v/>
      </c>
      <c r="D22" s="34">
        <f>H22*F22</f>
        <v/>
      </c>
      <c r="E22" s="34">
        <f>G22*F22</f>
        <v/>
      </c>
      <c r="F22" s="34" t="n"/>
      <c r="G22" s="34" t="inlineStr">
        <is>
          <t>ERROR</t>
        </is>
      </c>
      <c r="H22" s="34" t="n"/>
      <c r="I22" s="34">
        <f>E22-H22*F22</f>
        <v/>
      </c>
      <c r="K22" s="0" t="inlineStr">
        <is>
          <t>中微公司</t>
        </is>
      </c>
      <c r="L22" s="0" t="n">
        <v>1200</v>
      </c>
      <c r="M22" s="0" t="n">
        <v>327264</v>
      </c>
    </row>
    <row r="23" hidden="1" ht="21" customHeight="1" s="30">
      <c r="A23" s="7" t="n">
        <v>21</v>
      </c>
      <c r="B23" s="34" t="n"/>
      <c r="C23" s="9">
        <f>I23/D23</f>
        <v/>
      </c>
      <c r="D23" s="34">
        <f>H23*F23</f>
        <v/>
      </c>
      <c r="E23" s="34">
        <f>G23*F23</f>
        <v/>
      </c>
      <c r="F23" s="34" t="n"/>
      <c r="G23" s="34" t="inlineStr">
        <is>
          <t>ERROR</t>
        </is>
      </c>
      <c r="H23" s="34" t="n"/>
      <c r="I23" s="34">
        <f>E23-H23*F23</f>
        <v/>
      </c>
      <c r="K23" s="0" t="inlineStr">
        <is>
          <t>奥联电子</t>
        </is>
      </c>
      <c r="L23" s="0" t="n">
        <v>25300</v>
      </c>
      <c r="M23" s="0" t="n">
        <v>573804</v>
      </c>
    </row>
    <row r="24" hidden="1" ht="21" customHeight="1" s="30">
      <c r="A24" s="7" t="n">
        <v>22</v>
      </c>
      <c r="B24" s="34" t="n"/>
      <c r="C24" s="9">
        <f>I24/D24</f>
        <v/>
      </c>
      <c r="D24" s="34">
        <f>H24*F24</f>
        <v/>
      </c>
      <c r="E24" s="34">
        <f>G24*F24</f>
        <v/>
      </c>
      <c r="F24" s="34" t="n"/>
      <c r="G24" s="34" t="inlineStr">
        <is>
          <t>ERROR</t>
        </is>
      </c>
      <c r="H24" s="34" t="n"/>
      <c r="I24" s="34">
        <f>E24-H24*F24</f>
        <v/>
      </c>
      <c r="K24" s="0" t="inlineStr">
        <is>
          <t>通富微电</t>
        </is>
      </c>
      <c r="L24" s="0" t="n">
        <v>1400</v>
      </c>
      <c r="M24" s="0" t="n">
        <v>50078</v>
      </c>
    </row>
    <row r="25" hidden="1" ht="21" customHeight="1" s="30">
      <c r="A25" s="7" t="n">
        <v>23</v>
      </c>
      <c r="B25" s="36" t="n"/>
      <c r="C25" s="9">
        <f>I25/D25</f>
        <v/>
      </c>
      <c r="D25" s="34">
        <f>H25*F25</f>
        <v/>
      </c>
      <c r="E25" s="34">
        <f>G25*F25</f>
        <v/>
      </c>
      <c r="F25" s="34" t="n"/>
      <c r="G25" s="34" t="inlineStr">
        <is>
          <t>ERROR</t>
        </is>
      </c>
      <c r="H25" s="34" t="n"/>
      <c r="I25" s="34">
        <f>E25-H25*F25</f>
        <v/>
      </c>
      <c r="K25" s="0" t="inlineStr">
        <is>
          <t>利仁科技</t>
        </is>
      </c>
      <c r="L25" s="0" t="n">
        <v>5400</v>
      </c>
      <c r="M25" s="0" t="n">
        <v>165942</v>
      </c>
    </row>
    <row r="26" hidden="1" ht="21" customHeight="1" s="30">
      <c r="A26" s="7" t="n">
        <v>24</v>
      </c>
      <c r="B26" s="36" t="n"/>
      <c r="C26" s="9">
        <f>I26/D26</f>
        <v/>
      </c>
      <c r="D26" s="34">
        <f>H26*F26</f>
        <v/>
      </c>
      <c r="E26" s="34">
        <f>G26*F26</f>
        <v/>
      </c>
      <c r="F26" s="34" t="n"/>
      <c r="G26" s="34" t="inlineStr">
        <is>
          <t>ERROR</t>
        </is>
      </c>
      <c r="H26" s="34" t="n"/>
      <c r="I26" s="34">
        <f>E26-H26*F26</f>
        <v/>
      </c>
      <c r="K26" s="0" t="inlineStr">
        <is>
          <t>总计</t>
        </is>
      </c>
      <c r="L26" s="0" t="n">
        <v>153348</v>
      </c>
      <c r="M26" s="0" t="n">
        <v>5058117</v>
      </c>
    </row>
    <row r="27" hidden="1" ht="21" customHeight="1" s="30">
      <c r="A27" s="7" t="n">
        <v>25</v>
      </c>
      <c r="B27" s="36" t="n"/>
      <c r="C27" s="9">
        <f>I27/D27</f>
        <v/>
      </c>
      <c r="D27" s="34">
        <f>H27*F27</f>
        <v/>
      </c>
      <c r="E27" s="34">
        <f>G27*F27</f>
        <v/>
      </c>
      <c r="F27" s="34" t="n"/>
      <c r="G27" s="34" t="inlineStr">
        <is>
          <t>ERROR</t>
        </is>
      </c>
      <c r="H27" s="34" t="n"/>
      <c r="I27" s="34">
        <f>E27-H27*F27</f>
        <v/>
      </c>
      <c r="K27" s="0" t="n"/>
    </row>
    <row r="28" hidden="1" ht="21" customHeight="1" s="30">
      <c r="A28" s="7" t="n">
        <v>26</v>
      </c>
      <c r="B28" s="36" t="n"/>
      <c r="C28" s="9">
        <f>I28/D28</f>
        <v/>
      </c>
      <c r="D28" s="34">
        <f>H28*F28</f>
        <v/>
      </c>
      <c r="E28" s="34">
        <f>G28*F28</f>
        <v/>
      </c>
      <c r="F28" s="34" t="n"/>
      <c r="G28" s="34" t="inlineStr">
        <is>
          <t>ERROR</t>
        </is>
      </c>
      <c r="H28" s="34" t="n"/>
      <c r="I28" s="34">
        <f>E28-H28*F28</f>
        <v/>
      </c>
      <c r="K28" s="0" t="n"/>
    </row>
    <row r="29" hidden="1" ht="21" customHeight="1" s="30">
      <c r="A29" s="7" t="n">
        <v>27</v>
      </c>
      <c r="B29" s="36" t="n"/>
      <c r="C29" s="9">
        <f>I29/D29</f>
        <v/>
      </c>
      <c r="D29" s="34">
        <f>H29*F29</f>
        <v/>
      </c>
      <c r="E29" s="34">
        <f>G29*F29</f>
        <v/>
      </c>
      <c r="F29" s="34" t="n"/>
      <c r="G29" s="34" t="inlineStr">
        <is>
          <t>ERROR</t>
        </is>
      </c>
      <c r="H29" s="34" t="n"/>
      <c r="I29" s="34">
        <f>E29-H29*F29</f>
        <v/>
      </c>
      <c r="K29" s="0" t="n"/>
    </row>
    <row r="30" hidden="1" ht="21" customHeight="1" s="30">
      <c r="A30" s="7" t="n">
        <v>28</v>
      </c>
      <c r="B30" s="36" t="n"/>
      <c r="C30" s="9">
        <f>I30/D30</f>
        <v/>
      </c>
      <c r="D30" s="34">
        <f>H30*F30</f>
        <v/>
      </c>
      <c r="E30" s="34">
        <f>G30*F30</f>
        <v/>
      </c>
      <c r="F30" s="34" t="n"/>
      <c r="G30" s="34" t="inlineStr">
        <is>
          <t>ERROR</t>
        </is>
      </c>
      <c r="H30" s="34" t="n"/>
      <c r="I30" s="34">
        <f>E30-H30*F30</f>
        <v/>
      </c>
    </row>
    <row r="31" hidden="1" ht="21" customHeight="1" s="30">
      <c r="A31" s="7" t="n">
        <v>29</v>
      </c>
      <c r="B31" s="36" t="n"/>
      <c r="C31" s="9">
        <f>I31/D31</f>
        <v/>
      </c>
      <c r="D31" s="34">
        <f>H31*F31</f>
        <v/>
      </c>
      <c r="E31" s="34">
        <f>G31*F31</f>
        <v/>
      </c>
      <c r="F31" s="34" t="n"/>
      <c r="G31" s="34" t="inlineStr">
        <is>
          <t>ERROR</t>
        </is>
      </c>
      <c r="H31" s="34" t="n"/>
      <c r="I31" s="34">
        <f>E31-H31*F31</f>
        <v/>
      </c>
    </row>
    <row r="32" hidden="1" ht="21" customHeight="1" s="30">
      <c r="A32" s="7" t="n">
        <v>30</v>
      </c>
      <c r="B32" s="36" t="n"/>
      <c r="C32" s="9">
        <f>I32/D32</f>
        <v/>
      </c>
      <c r="D32" s="34">
        <f>H32*F32</f>
        <v/>
      </c>
      <c r="E32" s="34">
        <f>G32*F32</f>
        <v/>
      </c>
      <c r="F32" s="34" t="n"/>
      <c r="G32" s="34" t="inlineStr">
        <is>
          <t>ERROR</t>
        </is>
      </c>
      <c r="H32" s="34" t="n"/>
      <c r="I32" s="34">
        <f>E32-H32*F32</f>
        <v/>
      </c>
    </row>
    <row r="33" hidden="1" ht="21" customHeight="1" s="30">
      <c r="A33" s="7" t="n">
        <v>31</v>
      </c>
      <c r="B33" s="36" t="n"/>
      <c r="C33" s="9">
        <f>I33/D33</f>
        <v/>
      </c>
      <c r="D33" s="34">
        <f>H33*F33</f>
        <v/>
      </c>
      <c r="E33" s="34">
        <f>G33*F33</f>
        <v/>
      </c>
      <c r="F33" s="34" t="n"/>
      <c r="G33" s="34" t="inlineStr">
        <is>
          <t>ERROR</t>
        </is>
      </c>
      <c r="H33" s="34" t="n"/>
      <c r="I33" s="34">
        <f>E33-H33*F33</f>
        <v/>
      </c>
    </row>
    <row r="34" hidden="1" ht="21" customHeight="1" s="30">
      <c r="A34" s="7" t="n">
        <v>32</v>
      </c>
      <c r="B34" s="36" t="n"/>
      <c r="C34" s="9">
        <f>I34/D34</f>
        <v/>
      </c>
      <c r="D34" s="34">
        <f>H34*F34</f>
        <v/>
      </c>
      <c r="E34" s="34">
        <f>G34*F34</f>
        <v/>
      </c>
      <c r="F34" s="34" t="n"/>
      <c r="G34" s="34" t="inlineStr">
        <is>
          <t>ERROR</t>
        </is>
      </c>
      <c r="H34" s="34" t="n"/>
      <c r="I34" s="34">
        <f>E34-H34*F34</f>
        <v/>
      </c>
    </row>
    <row r="35" hidden="1" ht="21" customHeight="1" s="30">
      <c r="A35" s="7" t="n">
        <v>33</v>
      </c>
      <c r="B35" s="36" t="n"/>
      <c r="C35" s="9">
        <f>I35/D35</f>
        <v/>
      </c>
      <c r="D35" s="34">
        <f>H35*F35</f>
        <v/>
      </c>
      <c r="E35" s="34">
        <f>G35*F35</f>
        <v/>
      </c>
      <c r="F35" s="34" t="n"/>
      <c r="G35" s="34" t="inlineStr">
        <is>
          <t>ERROR</t>
        </is>
      </c>
      <c r="H35" s="34" t="n"/>
      <c r="I35" s="34">
        <f>E35-H35*F35</f>
        <v/>
      </c>
    </row>
    <row r="36" hidden="1" ht="21" customHeight="1" s="30">
      <c r="A36" s="7" t="n">
        <v>34</v>
      </c>
      <c r="B36" s="36" t="n"/>
      <c r="C36" s="9">
        <f>I36/D36</f>
        <v/>
      </c>
      <c r="D36" s="34">
        <f>H36*F36</f>
        <v/>
      </c>
      <c r="E36" s="34">
        <f>G36*F36</f>
        <v/>
      </c>
      <c r="F36" s="34" t="n"/>
      <c r="G36" s="34" t="inlineStr">
        <is>
          <t>ERROR</t>
        </is>
      </c>
      <c r="H36" s="34" t="n"/>
      <c r="I36" s="34">
        <f>E36-H36*F36</f>
        <v/>
      </c>
    </row>
    <row r="37" hidden="1" ht="21" customHeight="1" s="30">
      <c r="A37" s="7" t="n">
        <v>35</v>
      </c>
      <c r="B37" s="36" t="n"/>
      <c r="C37" s="9">
        <f>I37/D37</f>
        <v/>
      </c>
      <c r="D37" s="34">
        <f>H37*F37</f>
        <v/>
      </c>
      <c r="E37" s="34">
        <f>G37*F37</f>
        <v/>
      </c>
      <c r="F37" s="34" t="n"/>
      <c r="G37" s="34" t="inlineStr">
        <is>
          <t>ERROR</t>
        </is>
      </c>
      <c r="H37" s="34" t="n"/>
      <c r="I37" s="34">
        <f>E37-H37*F37</f>
        <v/>
      </c>
    </row>
    <row r="38" hidden="1" ht="21" customHeight="1" s="30">
      <c r="A38" s="7" t="n">
        <v>36</v>
      </c>
      <c r="B38" s="36" t="n"/>
      <c r="C38" s="9">
        <f>I38/D38</f>
        <v/>
      </c>
      <c r="D38" s="34">
        <f>H38*F38</f>
        <v/>
      </c>
      <c r="E38" s="34">
        <f>G38*F38</f>
        <v/>
      </c>
      <c r="F38" s="34" t="n"/>
      <c r="G38" s="34" t="inlineStr">
        <is>
          <t>ERROR</t>
        </is>
      </c>
      <c r="H38" s="34" t="n"/>
      <c r="I38" s="34">
        <f>E38-H38*F38</f>
        <v/>
      </c>
    </row>
    <row r="39" hidden="1" ht="21" customHeight="1" s="30">
      <c r="A39" s="7" t="n">
        <v>37</v>
      </c>
      <c r="B39" s="36" t="n"/>
      <c r="C39" s="9">
        <f>I39/D39</f>
        <v/>
      </c>
      <c r="D39" s="34">
        <f>H39*F39</f>
        <v/>
      </c>
      <c r="E39" s="34">
        <f>G39*F39</f>
        <v/>
      </c>
      <c r="F39" s="34" t="n"/>
      <c r="G39" s="34" t="inlineStr">
        <is>
          <t>ERROR</t>
        </is>
      </c>
      <c r="H39" s="34" t="n"/>
      <c r="I39" s="34">
        <f>E39-H39*F39</f>
        <v/>
      </c>
    </row>
    <row r="40" hidden="1" ht="21" customHeight="1" s="30">
      <c r="A40" s="7" t="n">
        <v>38</v>
      </c>
      <c r="B40" s="36" t="n"/>
      <c r="C40" s="9">
        <f>I40/D40</f>
        <v/>
      </c>
      <c r="D40" s="34">
        <f>H40*F40</f>
        <v/>
      </c>
      <c r="E40" s="34">
        <f>G40*F40</f>
        <v/>
      </c>
      <c r="F40" s="34" t="n"/>
      <c r="G40" s="34" t="inlineStr">
        <is>
          <t>ERROR</t>
        </is>
      </c>
      <c r="H40" s="34" t="n"/>
      <c r="I40" s="34">
        <f>E40-H40*F40</f>
        <v/>
      </c>
    </row>
    <row r="41" hidden="1" ht="21" customHeight="1" s="30">
      <c r="A41" s="7" t="n">
        <v>39</v>
      </c>
      <c r="B41" s="36" t="n"/>
      <c r="C41" s="9">
        <f>I41/D41</f>
        <v/>
      </c>
      <c r="D41" s="34">
        <f>H41*F41</f>
        <v/>
      </c>
      <c r="E41" s="34">
        <f>G41*F41</f>
        <v/>
      </c>
      <c r="F41" s="34" t="n"/>
      <c r="G41" s="34" t="inlineStr">
        <is>
          <t>ERROR</t>
        </is>
      </c>
      <c r="H41" s="34" t="n"/>
      <c r="I41" s="34">
        <f>E41-H41*F41</f>
        <v/>
      </c>
    </row>
    <row r="42" hidden="1" ht="21" customHeight="1" s="30">
      <c r="A42" s="7" t="n">
        <v>40</v>
      </c>
      <c r="B42" s="36" t="n"/>
      <c r="C42" s="9">
        <f>I42/D42</f>
        <v/>
      </c>
      <c r="D42" s="34">
        <f>H42*F42</f>
        <v/>
      </c>
      <c r="E42" s="34">
        <f>G42*F42</f>
        <v/>
      </c>
      <c r="F42" s="34" t="n"/>
      <c r="G42" s="34" t="inlineStr">
        <is>
          <t>ERROR</t>
        </is>
      </c>
      <c r="H42" s="34" t="n"/>
      <c r="I42" s="34">
        <f>E42-H42*F42</f>
        <v/>
      </c>
    </row>
    <row r="43" hidden="1" ht="21" customHeight="1" s="30">
      <c r="A43" s="7" t="n">
        <v>41</v>
      </c>
      <c r="B43" s="36" t="n"/>
      <c r="C43" s="9">
        <f>I43/D43</f>
        <v/>
      </c>
      <c r="D43" s="34">
        <f>H43*F43</f>
        <v/>
      </c>
      <c r="E43" s="34">
        <f>G43*F43</f>
        <v/>
      </c>
      <c r="F43" s="34" t="n"/>
      <c r="G43" s="34" t="inlineStr">
        <is>
          <t>ERROR</t>
        </is>
      </c>
      <c r="H43" s="34" t="n"/>
      <c r="I43" s="34">
        <f>E43-H43*F43</f>
        <v/>
      </c>
    </row>
    <row r="44" hidden="1" ht="21" customHeight="1" s="30">
      <c r="A44" s="7" t="n">
        <v>42</v>
      </c>
      <c r="B44" s="36" t="n"/>
      <c r="C44" s="9">
        <f>I44/D44</f>
        <v/>
      </c>
      <c r="D44" s="34">
        <f>H44*F44</f>
        <v/>
      </c>
      <c r="E44" s="34">
        <f>G44*F44</f>
        <v/>
      </c>
      <c r="F44" s="34" t="n"/>
      <c r="G44" s="34" t="inlineStr">
        <is>
          <t>ERROR</t>
        </is>
      </c>
      <c r="H44" s="34" t="n"/>
      <c r="I44" s="34">
        <f>E44-H44*F44</f>
        <v/>
      </c>
    </row>
    <row r="45" hidden="1" ht="21" customHeight="1" s="30">
      <c r="A45" s="7" t="n">
        <v>43</v>
      </c>
      <c r="B45" s="36" t="n"/>
      <c r="C45" s="9">
        <f>I45/D45</f>
        <v/>
      </c>
      <c r="D45" s="34">
        <f>H45*F45</f>
        <v/>
      </c>
      <c r="E45" s="34">
        <f>G45*F45</f>
        <v/>
      </c>
      <c r="F45" s="34" t="n"/>
      <c r="G45" s="34" t="inlineStr">
        <is>
          <t>ERROR</t>
        </is>
      </c>
      <c r="H45" s="34" t="n"/>
      <c r="I45" s="34">
        <f>E45-H45*F45</f>
        <v/>
      </c>
    </row>
    <row r="46" hidden="1" ht="21" customHeight="1" s="30">
      <c r="A46" s="7" t="n">
        <v>44</v>
      </c>
      <c r="B46" s="36" t="n"/>
      <c r="C46" s="9">
        <f>I46/D46</f>
        <v/>
      </c>
      <c r="D46" s="34">
        <f>H46*F46</f>
        <v/>
      </c>
      <c r="E46" s="34">
        <f>G46*F46</f>
        <v/>
      </c>
      <c r="F46" s="34" t="n"/>
      <c r="G46" s="34" t="inlineStr">
        <is>
          <t>ERROR</t>
        </is>
      </c>
      <c r="H46" s="34" t="n"/>
      <c r="I46" s="34">
        <f>E46-H46*F46</f>
        <v/>
      </c>
    </row>
    <row r="47" hidden="1" ht="21" customHeight="1" s="30">
      <c r="A47" s="7" t="n">
        <v>45</v>
      </c>
      <c r="B47" s="36" t="n"/>
      <c r="C47" s="9">
        <f>I47/D47</f>
        <v/>
      </c>
      <c r="D47" s="34">
        <f>H47*F47</f>
        <v/>
      </c>
      <c r="E47" s="34">
        <f>G47*F47</f>
        <v/>
      </c>
      <c r="F47" s="34" t="n"/>
      <c r="G47" s="34" t="inlineStr">
        <is>
          <t>ERROR</t>
        </is>
      </c>
      <c r="H47" s="34" t="n"/>
      <c r="I47" s="34">
        <f>E47-H47*F47</f>
        <v/>
      </c>
    </row>
    <row r="48" hidden="1" ht="21" customHeight="1" s="30">
      <c r="A48" s="7" t="n">
        <v>46</v>
      </c>
      <c r="B48" s="36" t="n"/>
      <c r="C48" s="9">
        <f>I48/D48</f>
        <v/>
      </c>
      <c r="D48" s="34">
        <f>H48*F48</f>
        <v/>
      </c>
      <c r="E48" s="34">
        <f>G48*F48</f>
        <v/>
      </c>
      <c r="F48" s="34" t="n"/>
      <c r="G48" s="34" t="inlineStr">
        <is>
          <t>ERROR</t>
        </is>
      </c>
      <c r="H48" s="34" t="n"/>
      <c r="I48" s="34">
        <f>E48-H48*F48</f>
        <v/>
      </c>
    </row>
    <row r="49" hidden="1" ht="21" customHeight="1" s="30">
      <c r="A49" s="7" t="n">
        <v>47</v>
      </c>
      <c r="B49" s="36" t="n"/>
      <c r="C49" s="9">
        <f>I49/D49</f>
        <v/>
      </c>
      <c r="D49" s="34">
        <f>H49*F49</f>
        <v/>
      </c>
      <c r="E49" s="34">
        <f>G49*F49</f>
        <v/>
      </c>
      <c r="F49" s="34" t="n"/>
      <c r="G49" s="34" t="inlineStr">
        <is>
          <t>ERROR</t>
        </is>
      </c>
      <c r="H49" s="34" t="n"/>
      <c r="I49" s="34">
        <f>E49-H49*F49</f>
        <v/>
      </c>
    </row>
    <row r="50" hidden="1" ht="21" customHeight="1" s="30">
      <c r="A50" s="7" t="n">
        <v>48</v>
      </c>
      <c r="B50" s="36" t="n"/>
      <c r="C50" s="9">
        <f>I50/D50</f>
        <v/>
      </c>
      <c r="D50" s="34">
        <f>H50*F50</f>
        <v/>
      </c>
      <c r="E50" s="34">
        <f>G50*F50</f>
        <v/>
      </c>
      <c r="F50" s="34" t="n"/>
      <c r="G50" s="34" t="inlineStr">
        <is>
          <t>ERROR</t>
        </is>
      </c>
      <c r="H50" s="34" t="n"/>
      <c r="I50" s="34">
        <f>E50-H50*F50</f>
        <v/>
      </c>
    </row>
    <row r="51" hidden="1" ht="21" customHeight="1" s="30">
      <c r="A51" s="7" t="n">
        <v>49</v>
      </c>
      <c r="B51" s="36" t="n"/>
      <c r="C51" s="9">
        <f>I51/D51</f>
        <v/>
      </c>
      <c r="D51" s="34">
        <f>H51*F51</f>
        <v/>
      </c>
      <c r="E51" s="34">
        <f>G51*F51</f>
        <v/>
      </c>
      <c r="F51" s="34" t="n"/>
      <c r="G51" s="34" t="inlineStr">
        <is>
          <t>ERROR</t>
        </is>
      </c>
      <c r="H51" s="34" t="n"/>
      <c r="I51" s="34">
        <f>E51-H51*F51</f>
        <v/>
      </c>
    </row>
    <row r="52" hidden="1" ht="21" customHeight="1" s="30">
      <c r="A52" s="7" t="n">
        <v>50</v>
      </c>
      <c r="B52" s="36" t="n"/>
      <c r="C52" s="9">
        <f>I52/D52</f>
        <v/>
      </c>
      <c r="D52" s="34">
        <f>H52*F52</f>
        <v/>
      </c>
      <c r="E52" s="34">
        <f>G52*F52</f>
        <v/>
      </c>
      <c r="F52" s="34" t="n"/>
      <c r="G52" s="34" t="inlineStr">
        <is>
          <t>ERROR</t>
        </is>
      </c>
      <c r="H52" s="34" t="n"/>
      <c r="I52" s="34">
        <f>E52-H52*F52</f>
        <v/>
      </c>
    </row>
    <row r="53" hidden="1" ht="21" customHeight="1" s="30">
      <c r="A53" s="7" t="n">
        <v>51</v>
      </c>
      <c r="B53" s="36" t="n"/>
      <c r="C53" s="9">
        <f>I53/D53</f>
        <v/>
      </c>
      <c r="D53" s="34">
        <f>H53*F53</f>
        <v/>
      </c>
      <c r="E53" s="34">
        <f>G53*F53</f>
        <v/>
      </c>
      <c r="F53" s="34" t="n"/>
      <c r="G53" s="34" t="inlineStr">
        <is>
          <t>ERROR</t>
        </is>
      </c>
      <c r="H53" s="34" t="n"/>
      <c r="I53" s="34">
        <f>E53-H53*F53</f>
        <v/>
      </c>
    </row>
    <row r="54" hidden="1" ht="21" customHeight="1" s="30">
      <c r="A54" s="7" t="n">
        <v>52</v>
      </c>
      <c r="B54" s="36" t="n"/>
      <c r="C54" s="9">
        <f>I54/D54</f>
        <v/>
      </c>
      <c r="D54" s="34">
        <f>H54*F54</f>
        <v/>
      </c>
      <c r="E54" s="34">
        <f>G54*F54</f>
        <v/>
      </c>
      <c r="F54" s="34" t="n"/>
      <c r="G54" s="34" t="inlineStr">
        <is>
          <t>ERROR</t>
        </is>
      </c>
      <c r="H54" s="34" t="n"/>
      <c r="I54" s="34">
        <f>E54-H54*F54</f>
        <v/>
      </c>
    </row>
    <row r="55" hidden="1" ht="21" customHeight="1" s="30">
      <c r="A55" s="7" t="n">
        <v>53</v>
      </c>
      <c r="B55" s="36" t="n"/>
      <c r="C55" s="9">
        <f>I55/D55</f>
        <v/>
      </c>
      <c r="D55" s="34">
        <f>H55*F55</f>
        <v/>
      </c>
      <c r="E55" s="34">
        <f>G55*F55</f>
        <v/>
      </c>
      <c r="F55" s="34" t="n"/>
      <c r="G55" s="34" t="inlineStr">
        <is>
          <t>ERROR</t>
        </is>
      </c>
      <c r="H55" s="34" t="n"/>
      <c r="I55" s="34">
        <f>E55-H55*F55</f>
        <v/>
      </c>
    </row>
    <row r="56" hidden="1" ht="21" customHeight="1" s="30">
      <c r="A56" s="7" t="n">
        <v>54</v>
      </c>
      <c r="B56" s="36" t="n"/>
      <c r="C56" s="9">
        <f>I56/D56</f>
        <v/>
      </c>
      <c r="D56" s="34">
        <f>H56*F56</f>
        <v/>
      </c>
      <c r="E56" s="34">
        <f>G56*F56</f>
        <v/>
      </c>
      <c r="F56" s="34" t="n"/>
      <c r="G56" s="34" t="inlineStr">
        <is>
          <t>ERROR</t>
        </is>
      </c>
      <c r="H56" s="34" t="n"/>
      <c r="I56" s="34">
        <f>E56-H56*F56</f>
        <v/>
      </c>
    </row>
    <row r="57" hidden="1" ht="21" customHeight="1" s="30">
      <c r="A57" s="7" t="n">
        <v>55</v>
      </c>
      <c r="B57" s="36" t="n"/>
      <c r="C57" s="9">
        <f>I57/D57</f>
        <v/>
      </c>
      <c r="D57" s="34">
        <f>H57*F57</f>
        <v/>
      </c>
      <c r="E57" s="34">
        <f>G57*F57</f>
        <v/>
      </c>
      <c r="F57" s="34" t="n"/>
      <c r="G57" s="34" t="inlineStr">
        <is>
          <t>ERROR</t>
        </is>
      </c>
      <c r="H57" s="34" t="n"/>
      <c r="I57" s="34">
        <f>E57-H57*F57</f>
        <v/>
      </c>
    </row>
    <row r="58" hidden="1" ht="21" customHeight="1" s="30">
      <c r="A58" s="7" t="n">
        <v>56</v>
      </c>
      <c r="B58" s="36" t="n"/>
      <c r="C58" s="9">
        <f>I58/D58</f>
        <v/>
      </c>
      <c r="D58" s="34">
        <f>H58*F58</f>
        <v/>
      </c>
      <c r="E58" s="34">
        <f>G58*F58</f>
        <v/>
      </c>
      <c r="F58" s="34" t="n"/>
      <c r="G58" s="34" t="inlineStr">
        <is>
          <t>ERROR</t>
        </is>
      </c>
      <c r="H58" s="34" t="n"/>
      <c r="I58" s="34">
        <f>E58-H58*F58</f>
        <v/>
      </c>
    </row>
    <row r="59" hidden="1" ht="21" customHeight="1" s="30">
      <c r="A59" s="7" t="n">
        <v>57</v>
      </c>
      <c r="B59" s="36" t="n"/>
      <c r="C59" s="9">
        <f>I59/D59</f>
        <v/>
      </c>
      <c r="D59" s="34">
        <f>H59*F59</f>
        <v/>
      </c>
      <c r="E59" s="34">
        <f>G59*F59</f>
        <v/>
      </c>
      <c r="F59" s="34" t="n"/>
      <c r="G59" s="34" t="inlineStr">
        <is>
          <t>ERROR</t>
        </is>
      </c>
      <c r="H59" s="34" t="n"/>
      <c r="I59" s="34">
        <f>E59-H59*F59</f>
        <v/>
      </c>
    </row>
    <row r="60" hidden="1" ht="21" customHeight="1" s="30">
      <c r="A60" s="7" t="n">
        <v>58</v>
      </c>
      <c r="B60" s="36" t="n"/>
      <c r="C60" s="9">
        <f>I60/D60</f>
        <v/>
      </c>
      <c r="D60" s="34">
        <f>H60*F60</f>
        <v/>
      </c>
      <c r="E60" s="34">
        <f>G60*F60</f>
        <v/>
      </c>
      <c r="F60" s="34" t="n"/>
      <c r="G60" s="34" t="inlineStr">
        <is>
          <t>ERROR</t>
        </is>
      </c>
      <c r="H60" s="34" t="n"/>
      <c r="I60" s="34">
        <f>E60-H60*F60</f>
        <v/>
      </c>
    </row>
    <row r="61" hidden="1" ht="21" customHeight="1" s="30">
      <c r="A61" s="7" t="n">
        <v>59</v>
      </c>
      <c r="B61" s="36" t="n"/>
      <c r="C61" s="9">
        <f>I61/D61</f>
        <v/>
      </c>
      <c r="D61" s="34">
        <f>H61*F61</f>
        <v/>
      </c>
      <c r="E61" s="34">
        <f>G61*F61</f>
        <v/>
      </c>
      <c r="F61" s="34" t="n"/>
      <c r="G61" s="34" t="inlineStr">
        <is>
          <t>ERROR</t>
        </is>
      </c>
      <c r="H61" s="34" t="n"/>
      <c r="I61" s="34">
        <f>E61-H61*F61</f>
        <v/>
      </c>
    </row>
    <row r="62" hidden="1" ht="21" customHeight="1" s="30">
      <c r="A62" s="7" t="n">
        <v>60</v>
      </c>
      <c r="B62" s="36" t="n"/>
      <c r="C62" s="9">
        <f>I62/D62</f>
        <v/>
      </c>
      <c r="D62" s="34">
        <f>H62*F62</f>
        <v/>
      </c>
      <c r="E62" s="34">
        <f>G62*F62</f>
        <v/>
      </c>
      <c r="F62" s="34" t="n"/>
      <c r="G62" s="34" t="inlineStr">
        <is>
          <t>ERROR</t>
        </is>
      </c>
      <c r="H62" s="34" t="n"/>
      <c r="I62" s="34">
        <f>E62-H62*F62</f>
        <v/>
      </c>
    </row>
    <row r="63" hidden="1" ht="21" customHeight="1" s="30">
      <c r="A63" s="7" t="n">
        <v>61</v>
      </c>
      <c r="B63" s="36" t="n"/>
      <c r="C63" s="9">
        <f>I63/D63</f>
        <v/>
      </c>
      <c r="D63" s="34">
        <f>H63*F63</f>
        <v/>
      </c>
      <c r="E63" s="34">
        <f>G63*F63</f>
        <v/>
      </c>
      <c r="F63" s="34" t="n"/>
      <c r="G63" s="34" t="inlineStr">
        <is>
          <t>ERROR</t>
        </is>
      </c>
      <c r="H63" s="34" t="n"/>
      <c r="I63" s="34">
        <f>E63-H63*F63</f>
        <v/>
      </c>
    </row>
    <row r="64" hidden="1" ht="21" customHeight="1" s="30">
      <c r="A64" s="7" t="n">
        <v>62</v>
      </c>
      <c r="B64" s="36" t="n"/>
      <c r="C64" s="9">
        <f>I64/D64</f>
        <v/>
      </c>
      <c r="D64" s="34">
        <f>H64*F64</f>
        <v/>
      </c>
      <c r="E64" s="34">
        <f>G64*F64</f>
        <v/>
      </c>
      <c r="F64" s="34" t="n"/>
      <c r="G64" s="34" t="inlineStr">
        <is>
          <t>ERROR</t>
        </is>
      </c>
      <c r="H64" s="34" t="n"/>
      <c r="I64" s="34">
        <f>E64-H64*F64</f>
        <v/>
      </c>
    </row>
    <row r="65" hidden="1" ht="21" customHeight="1" s="30">
      <c r="A65" s="7" t="n">
        <v>63</v>
      </c>
      <c r="B65" s="36" t="n"/>
      <c r="C65" s="9">
        <f>I65/D65</f>
        <v/>
      </c>
      <c r="D65" s="34">
        <f>H65*F65</f>
        <v/>
      </c>
      <c r="E65" s="34">
        <f>G65*F65</f>
        <v/>
      </c>
      <c r="F65" s="34" t="n"/>
      <c r="G65" s="34" t="inlineStr">
        <is>
          <t>ERROR</t>
        </is>
      </c>
      <c r="H65" s="34" t="n"/>
      <c r="I65" s="34">
        <f>E65-H65*F65</f>
        <v/>
      </c>
    </row>
    <row r="66" hidden="1" ht="21" customHeight="1" s="30">
      <c r="A66" s="7" t="n">
        <v>64</v>
      </c>
      <c r="B66" s="36" t="n"/>
      <c r="C66" s="9">
        <f>I66/D66</f>
        <v/>
      </c>
      <c r="D66" s="34">
        <f>H66*F66</f>
        <v/>
      </c>
      <c r="E66" s="34">
        <f>G66*F66</f>
        <v/>
      </c>
      <c r="F66" s="34" t="n"/>
      <c r="G66" s="34" t="inlineStr">
        <is>
          <t>ERROR</t>
        </is>
      </c>
      <c r="H66" s="34" t="n"/>
      <c r="I66" s="34">
        <f>E66-H66*F66</f>
        <v/>
      </c>
    </row>
    <row r="67" hidden="1" ht="21" customHeight="1" s="30">
      <c r="A67" s="7" t="n">
        <v>65</v>
      </c>
      <c r="B67" s="36" t="n"/>
      <c r="C67" s="9">
        <f>I67/D67</f>
        <v/>
      </c>
      <c r="D67" s="34">
        <f>H67*F67</f>
        <v/>
      </c>
      <c r="E67" s="34">
        <f>G67*F67</f>
        <v/>
      </c>
      <c r="F67" s="34" t="n"/>
      <c r="G67" s="34" t="inlineStr">
        <is>
          <t>ERROR</t>
        </is>
      </c>
      <c r="H67" s="34" t="n"/>
      <c r="I67" s="34">
        <f>E67-H67*F67</f>
        <v/>
      </c>
    </row>
    <row r="68" hidden="1" ht="21" customHeight="1" s="30">
      <c r="A68" s="7" t="n">
        <v>66</v>
      </c>
      <c r="B68" s="36" t="n"/>
      <c r="C68" s="9">
        <f>I68/D68</f>
        <v/>
      </c>
      <c r="D68" s="34">
        <f>H68*F68</f>
        <v/>
      </c>
      <c r="E68" s="34">
        <f>G68*F68</f>
        <v/>
      </c>
      <c r="F68" s="34" t="n"/>
      <c r="G68" s="34" t="inlineStr">
        <is>
          <t>ERROR</t>
        </is>
      </c>
      <c r="H68" s="34" t="n"/>
      <c r="I68" s="34">
        <f>E68-H68*F68</f>
        <v/>
      </c>
    </row>
    <row r="69" hidden="1" ht="21" customHeight="1" s="30">
      <c r="A69" s="7" t="n">
        <v>67</v>
      </c>
      <c r="B69" s="36" t="n"/>
      <c r="C69" s="9">
        <f>I69/D69</f>
        <v/>
      </c>
      <c r="D69" s="34">
        <f>H69*F69</f>
        <v/>
      </c>
      <c r="E69" s="34">
        <f>G69*F69</f>
        <v/>
      </c>
      <c r="F69" s="34" t="n"/>
      <c r="G69" s="34" t="inlineStr">
        <is>
          <t>ERROR</t>
        </is>
      </c>
      <c r="H69" s="34" t="n"/>
      <c r="I69" s="34">
        <f>E69-H69*F69</f>
        <v/>
      </c>
    </row>
    <row r="70" hidden="1" ht="21" customHeight="1" s="30">
      <c r="A70" s="7" t="n">
        <v>68</v>
      </c>
      <c r="B70" s="36" t="n"/>
      <c r="C70" s="9">
        <f>I70/D70</f>
        <v/>
      </c>
      <c r="D70" s="34">
        <f>H70*F70</f>
        <v/>
      </c>
      <c r="E70" s="34">
        <f>G70*F70</f>
        <v/>
      </c>
      <c r="F70" s="34" t="n"/>
      <c r="G70" s="34" t="inlineStr">
        <is>
          <t>ERROR</t>
        </is>
      </c>
      <c r="H70" s="34" t="n"/>
      <c r="I70" s="34">
        <f>E70-H70*F70</f>
        <v/>
      </c>
    </row>
    <row r="71" hidden="1" ht="21" customHeight="1" s="30">
      <c r="A71" s="7" t="n">
        <v>69</v>
      </c>
      <c r="B71" s="36" t="n"/>
      <c r="C71" s="9">
        <f>I71/D71</f>
        <v/>
      </c>
      <c r="D71" s="34">
        <f>H71*F71</f>
        <v/>
      </c>
      <c r="E71" s="34">
        <f>G71*F71</f>
        <v/>
      </c>
      <c r="F71" s="34" t="n"/>
      <c r="G71" s="34" t="inlineStr">
        <is>
          <t>ERROR</t>
        </is>
      </c>
      <c r="H71" s="34" t="n"/>
      <c r="I71" s="34">
        <f>E71-H71*F71</f>
        <v/>
      </c>
    </row>
    <row r="72" hidden="1" ht="21" customHeight="1" s="30">
      <c r="A72" s="7" t="n">
        <v>70</v>
      </c>
      <c r="B72" s="36" t="n"/>
      <c r="C72" s="9">
        <f>I72/D72</f>
        <v/>
      </c>
      <c r="D72" s="34">
        <f>H72*F72</f>
        <v/>
      </c>
      <c r="E72" s="34">
        <f>G72*F72</f>
        <v/>
      </c>
      <c r="F72" s="34" t="n"/>
      <c r="G72" s="34" t="inlineStr">
        <is>
          <t>ERROR</t>
        </is>
      </c>
      <c r="H72" s="34" t="n"/>
      <c r="I72" s="34">
        <f>E72-H72*F72</f>
        <v/>
      </c>
    </row>
    <row r="73" hidden="1" ht="21" customHeight="1" s="30">
      <c r="A73" s="7" t="n">
        <v>71</v>
      </c>
      <c r="B73" s="36" t="n"/>
      <c r="C73" s="9">
        <f>I73/D73</f>
        <v/>
      </c>
      <c r="D73" s="34">
        <f>H73*F73</f>
        <v/>
      </c>
      <c r="E73" s="34">
        <f>G73*F73</f>
        <v/>
      </c>
      <c r="F73" s="34" t="n"/>
      <c r="G73" s="34" t="inlineStr">
        <is>
          <t>ERROR</t>
        </is>
      </c>
      <c r="H73" s="34" t="n"/>
      <c r="I73" s="34">
        <f>E73-H73*F73</f>
        <v/>
      </c>
    </row>
    <row r="74" hidden="1" ht="21" customHeight="1" s="30">
      <c r="A74" s="7" t="n">
        <v>72</v>
      </c>
      <c r="B74" s="36" t="n"/>
      <c r="C74" s="9">
        <f>I74/D74</f>
        <v/>
      </c>
      <c r="D74" s="34">
        <f>H74*F74</f>
        <v/>
      </c>
      <c r="E74" s="34">
        <f>G74*F74</f>
        <v/>
      </c>
      <c r="F74" s="34" t="n"/>
      <c r="G74" s="34" t="inlineStr">
        <is>
          <t>ERROR</t>
        </is>
      </c>
      <c r="H74" s="34" t="n"/>
      <c r="I74" s="34">
        <f>E74-H74*F74</f>
        <v/>
      </c>
    </row>
    <row r="75" hidden="1" ht="21" customHeight="1" s="30">
      <c r="A75" s="7" t="n">
        <v>73</v>
      </c>
      <c r="B75" s="36" t="n"/>
      <c r="C75" s="9">
        <f>I75/D75</f>
        <v/>
      </c>
      <c r="D75" s="34">
        <f>H75*F75</f>
        <v/>
      </c>
      <c r="E75" s="34">
        <f>G75*F75</f>
        <v/>
      </c>
      <c r="F75" s="34" t="n"/>
      <c r="G75" s="34" t="inlineStr">
        <is>
          <t>ERROR</t>
        </is>
      </c>
      <c r="H75" s="34" t="n"/>
      <c r="I75" s="34">
        <f>E75-H75*F75</f>
        <v/>
      </c>
    </row>
    <row r="76" hidden="1" ht="21" customHeight="1" s="30">
      <c r="A76" s="7" t="n">
        <v>74</v>
      </c>
      <c r="B76" s="36" t="n"/>
      <c r="C76" s="9">
        <f>I76/D76</f>
        <v/>
      </c>
      <c r="D76" s="34">
        <f>H76*F76</f>
        <v/>
      </c>
      <c r="E76" s="34">
        <f>G76*F76</f>
        <v/>
      </c>
      <c r="F76" s="34" t="n"/>
      <c r="G76" s="34" t="inlineStr">
        <is>
          <t>ERROR</t>
        </is>
      </c>
      <c r="H76" s="34" t="n"/>
      <c r="I76" s="34">
        <f>E76-H76*F76</f>
        <v/>
      </c>
    </row>
    <row r="77" hidden="1" ht="21" customHeight="1" s="30">
      <c r="A77" s="7" t="n">
        <v>75</v>
      </c>
      <c r="B77" s="36" t="n"/>
      <c r="C77" s="9">
        <f>I77/D77</f>
        <v/>
      </c>
      <c r="D77" s="34">
        <f>H77*F77</f>
        <v/>
      </c>
      <c r="E77" s="34">
        <f>G77*F77</f>
        <v/>
      </c>
      <c r="F77" s="34" t="n"/>
      <c r="G77" s="34" t="inlineStr">
        <is>
          <t>ERROR</t>
        </is>
      </c>
      <c r="H77" s="34" t="n"/>
      <c r="I77" s="34">
        <f>E77-H77*F77</f>
        <v/>
      </c>
    </row>
    <row r="78" hidden="1" ht="21" customHeight="1" s="30">
      <c r="A78" s="7" t="n">
        <v>76</v>
      </c>
      <c r="B78" s="36" t="n"/>
      <c r="C78" s="9">
        <f>I78/D78</f>
        <v/>
      </c>
      <c r="D78" s="34">
        <f>H78*F78</f>
        <v/>
      </c>
      <c r="E78" s="34">
        <f>G78*F78</f>
        <v/>
      </c>
      <c r="F78" s="34" t="n"/>
      <c r="G78" s="34" t="inlineStr">
        <is>
          <t>ERROR</t>
        </is>
      </c>
      <c r="H78" s="34" t="n"/>
      <c r="I78" s="34">
        <f>E78-H78*F78</f>
        <v/>
      </c>
    </row>
    <row r="79" hidden="1" ht="21" customHeight="1" s="30">
      <c r="A79" s="7" t="n">
        <v>77</v>
      </c>
      <c r="B79" s="36" t="n"/>
      <c r="C79" s="9">
        <f>I79/D79</f>
        <v/>
      </c>
      <c r="D79" s="34">
        <f>H79*F79</f>
        <v/>
      </c>
      <c r="E79" s="34">
        <f>G79*F79</f>
        <v/>
      </c>
      <c r="F79" s="34" t="n"/>
      <c r="G79" s="34" t="inlineStr">
        <is>
          <t>ERROR</t>
        </is>
      </c>
      <c r="H79" s="34" t="n"/>
      <c r="I79" s="34">
        <f>E79-H79*F79</f>
        <v/>
      </c>
    </row>
    <row r="80" hidden="1" ht="21" customHeight="1" s="30">
      <c r="A80" s="7" t="n">
        <v>78</v>
      </c>
      <c r="B80" s="36" t="n"/>
      <c r="C80" s="9">
        <f>I80/D80</f>
        <v/>
      </c>
      <c r="D80" s="34">
        <f>H80*F80</f>
        <v/>
      </c>
      <c r="E80" s="34">
        <f>G80*F80</f>
        <v/>
      </c>
      <c r="F80" s="34" t="n"/>
      <c r="G80" s="34" t="inlineStr">
        <is>
          <t>ERROR</t>
        </is>
      </c>
      <c r="H80" s="34" t="n"/>
      <c r="I80" s="34">
        <f>E80-H80*F80</f>
        <v/>
      </c>
    </row>
    <row r="81" hidden="1" ht="21" customHeight="1" s="30">
      <c r="A81" s="7" t="n">
        <v>79</v>
      </c>
      <c r="B81" s="36" t="n"/>
      <c r="C81" s="9">
        <f>I81/D81</f>
        <v/>
      </c>
      <c r="D81" s="34">
        <f>H81*F81</f>
        <v/>
      </c>
      <c r="E81" s="34">
        <f>G81*F81</f>
        <v/>
      </c>
      <c r="F81" s="34" t="n"/>
      <c r="G81" s="34" t="inlineStr">
        <is>
          <t>ERROR</t>
        </is>
      </c>
      <c r="H81" s="34" t="n"/>
      <c r="I81" s="34">
        <f>E81-H81*F81</f>
        <v/>
      </c>
    </row>
    <row r="82" hidden="1" ht="21" customHeight="1" s="30">
      <c r="A82" s="7" t="n">
        <v>80</v>
      </c>
      <c r="B82" s="36" t="n"/>
      <c r="C82" s="9">
        <f>I82/D82</f>
        <v/>
      </c>
      <c r="D82" s="34">
        <f>H82*F82</f>
        <v/>
      </c>
      <c r="E82" s="34">
        <f>G82*F82</f>
        <v/>
      </c>
      <c r="F82" s="34" t="n"/>
      <c r="G82" s="34" t="inlineStr">
        <is>
          <t>ERROR</t>
        </is>
      </c>
      <c r="H82" s="34" t="n"/>
      <c r="I82" s="34">
        <f>E82-H82*F82</f>
        <v/>
      </c>
    </row>
    <row r="83" hidden="1" ht="21" customHeight="1" s="30">
      <c r="A83" s="7" t="n">
        <v>81</v>
      </c>
      <c r="B83" s="36" t="n"/>
      <c r="C83" s="9">
        <f>I83/D83</f>
        <v/>
      </c>
      <c r="D83" s="34">
        <f>H83*F83</f>
        <v/>
      </c>
      <c r="E83" s="34">
        <f>G83*F83</f>
        <v/>
      </c>
      <c r="F83" s="34" t="n"/>
      <c r="G83" s="34" t="inlineStr">
        <is>
          <t>ERROR</t>
        </is>
      </c>
      <c r="H83" s="34" t="n"/>
      <c r="I83" s="34">
        <f>E83-H83*F83</f>
        <v/>
      </c>
    </row>
    <row r="84" hidden="1" ht="21" customHeight="1" s="30">
      <c r="A84" s="7" t="n">
        <v>82</v>
      </c>
      <c r="B84" s="36" t="n"/>
      <c r="C84" s="9">
        <f>I84/D84</f>
        <v/>
      </c>
      <c r="D84" s="34">
        <f>H84*F84</f>
        <v/>
      </c>
      <c r="E84" s="34">
        <f>G84*F84</f>
        <v/>
      </c>
      <c r="F84" s="34" t="n"/>
      <c r="G84" s="34" t="inlineStr">
        <is>
          <t>ERROR</t>
        </is>
      </c>
      <c r="H84" s="34" t="n"/>
      <c r="I84" s="34">
        <f>E84-H84*F84</f>
        <v/>
      </c>
    </row>
    <row r="85" hidden="1" ht="21" customHeight="1" s="30">
      <c r="A85" s="7" t="n">
        <v>83</v>
      </c>
      <c r="B85" s="36" t="n"/>
      <c r="C85" s="9">
        <f>I85/D85</f>
        <v/>
      </c>
      <c r="D85" s="34">
        <f>H85*F85</f>
        <v/>
      </c>
      <c r="E85" s="34">
        <f>G85*F85</f>
        <v/>
      </c>
      <c r="F85" s="34" t="n"/>
      <c r="G85" s="34" t="inlineStr">
        <is>
          <t>ERROR</t>
        </is>
      </c>
      <c r="H85" s="34" t="n"/>
      <c r="I85" s="34">
        <f>E85-H85*F85</f>
        <v/>
      </c>
    </row>
    <row r="86" hidden="1" ht="21" customHeight="1" s="30">
      <c r="A86" s="7" t="n">
        <v>84</v>
      </c>
      <c r="B86" s="36" t="n"/>
      <c r="C86" s="9">
        <f>I86/D86</f>
        <v/>
      </c>
      <c r="D86" s="34">
        <f>H86*F86</f>
        <v/>
      </c>
      <c r="E86" s="34">
        <f>G86*F86</f>
        <v/>
      </c>
      <c r="F86" s="34" t="n"/>
      <c r="G86" s="34" t="inlineStr">
        <is>
          <t>ERROR</t>
        </is>
      </c>
      <c r="H86" s="34" t="n"/>
      <c r="I86" s="34">
        <f>E86-H86*F86</f>
        <v/>
      </c>
    </row>
    <row r="87" hidden="1" ht="21" customHeight="1" s="30">
      <c r="A87" s="7" t="n">
        <v>85</v>
      </c>
      <c r="B87" s="36" t="n"/>
      <c r="C87" s="9">
        <f>I87/D87</f>
        <v/>
      </c>
      <c r="D87" s="34">
        <f>H87*F87</f>
        <v/>
      </c>
      <c r="E87" s="34">
        <f>G87*F87</f>
        <v/>
      </c>
      <c r="F87" s="34" t="n"/>
      <c r="G87" s="34" t="inlineStr">
        <is>
          <t>ERROR</t>
        </is>
      </c>
      <c r="H87" s="34" t="n"/>
      <c r="I87" s="34">
        <f>E87-H87*F87</f>
        <v/>
      </c>
    </row>
    <row r="88" hidden="1" ht="21" customHeight="1" s="30">
      <c r="A88" s="7" t="n">
        <v>86</v>
      </c>
      <c r="B88" s="36" t="n"/>
      <c r="C88" s="9">
        <f>I88/D88</f>
        <v/>
      </c>
      <c r="D88" s="34">
        <f>H88*F88</f>
        <v/>
      </c>
      <c r="E88" s="34">
        <f>G88*F88</f>
        <v/>
      </c>
      <c r="F88" s="34" t="n"/>
      <c r="G88" s="34" t="inlineStr">
        <is>
          <t>ERROR</t>
        </is>
      </c>
      <c r="H88" s="34" t="n"/>
      <c r="I88" s="34">
        <f>E88-H88*F88</f>
        <v/>
      </c>
    </row>
    <row r="89" hidden="1" ht="21" customHeight="1" s="30">
      <c r="A89" s="7" t="n">
        <v>87</v>
      </c>
      <c r="B89" s="36" t="n"/>
      <c r="C89" s="9">
        <f>I89/D89</f>
        <v/>
      </c>
      <c r="D89" s="34">
        <f>H89*F89</f>
        <v/>
      </c>
      <c r="E89" s="34">
        <f>G89*F89</f>
        <v/>
      </c>
      <c r="F89" s="34" t="n"/>
      <c r="G89" s="34" t="inlineStr">
        <is>
          <t>ERROR</t>
        </is>
      </c>
      <c r="H89" s="34" t="n"/>
      <c r="I89" s="34">
        <f>E89-H89*F89</f>
        <v/>
      </c>
    </row>
    <row r="90" hidden="1" ht="21" customHeight="1" s="30">
      <c r="A90" s="7" t="n">
        <v>88</v>
      </c>
      <c r="B90" s="36" t="n"/>
      <c r="C90" s="9">
        <f>I90/D90</f>
        <v/>
      </c>
      <c r="D90" s="34">
        <f>H90*F90</f>
        <v/>
      </c>
      <c r="E90" s="34">
        <f>G90*F90</f>
        <v/>
      </c>
      <c r="F90" s="34" t="n"/>
      <c r="G90" s="34" t="inlineStr">
        <is>
          <t>ERROR</t>
        </is>
      </c>
      <c r="H90" s="34" t="n"/>
      <c r="I90" s="34">
        <f>E90-H90*F90</f>
        <v/>
      </c>
    </row>
    <row r="91" hidden="1" ht="21" customHeight="1" s="30">
      <c r="A91" s="7" t="n">
        <v>89</v>
      </c>
      <c r="B91" s="36" t="n"/>
      <c r="C91" s="9">
        <f>I91/D91</f>
        <v/>
      </c>
      <c r="D91" s="34">
        <f>H91*F91</f>
        <v/>
      </c>
      <c r="E91" s="34">
        <f>G91*F91</f>
        <v/>
      </c>
      <c r="F91" s="34" t="n"/>
      <c r="G91" s="34" t="inlineStr">
        <is>
          <t>ERROR</t>
        </is>
      </c>
      <c r="H91" s="34" t="n"/>
      <c r="I91" s="34">
        <f>E91-H91*F91</f>
        <v/>
      </c>
    </row>
    <row r="92" hidden="1" ht="21" customHeight="1" s="30">
      <c r="A92" s="7" t="n">
        <v>90</v>
      </c>
      <c r="B92" s="36" t="n"/>
      <c r="C92" s="9">
        <f>I92/D92</f>
        <v/>
      </c>
      <c r="D92" s="34">
        <f>H92*F92</f>
        <v/>
      </c>
      <c r="E92" s="34">
        <f>G92*F92</f>
        <v/>
      </c>
      <c r="F92" s="34" t="n"/>
      <c r="G92" s="34" t="inlineStr">
        <is>
          <t>ERROR</t>
        </is>
      </c>
      <c r="H92" s="34" t="n"/>
      <c r="I92" s="34">
        <f>E92-H92*F92</f>
        <v/>
      </c>
    </row>
    <row r="93" hidden="1" ht="21" customHeight="1" s="30">
      <c r="A93" s="7" t="n">
        <v>91</v>
      </c>
      <c r="B93" s="36" t="n"/>
      <c r="C93" s="9">
        <f>I93/D93</f>
        <v/>
      </c>
      <c r="D93" s="34">
        <f>H93*F93</f>
        <v/>
      </c>
      <c r="E93" s="34">
        <f>G93*F93</f>
        <v/>
      </c>
      <c r="F93" s="34" t="n"/>
      <c r="G93" s="34" t="inlineStr">
        <is>
          <t>ERROR</t>
        </is>
      </c>
      <c r="H93" s="34" t="n"/>
      <c r="I93" s="34">
        <f>E93-H93*F93</f>
        <v/>
      </c>
    </row>
    <row r="94" hidden="1" ht="21" customHeight="1" s="30">
      <c r="A94" s="7" t="n">
        <v>92</v>
      </c>
      <c r="B94" s="36" t="n"/>
      <c r="C94" s="9">
        <f>I94/D94</f>
        <v/>
      </c>
      <c r="D94" s="34">
        <f>H94*F94</f>
        <v/>
      </c>
      <c r="E94" s="34">
        <f>G94*F94</f>
        <v/>
      </c>
      <c r="F94" s="34" t="n"/>
      <c r="G94" s="34" t="inlineStr">
        <is>
          <t>ERROR</t>
        </is>
      </c>
      <c r="H94" s="34" t="n"/>
      <c r="I94" s="34">
        <f>E94-H94*F94</f>
        <v/>
      </c>
    </row>
    <row r="95" hidden="1" ht="21" customHeight="1" s="30">
      <c r="A95" s="7" t="n">
        <v>93</v>
      </c>
      <c r="B95" s="36" t="n"/>
      <c r="C95" s="9">
        <f>I95/D95</f>
        <v/>
      </c>
      <c r="D95" s="34">
        <f>H95*F95</f>
        <v/>
      </c>
      <c r="E95" s="34">
        <f>G95*F95</f>
        <v/>
      </c>
      <c r="F95" s="34" t="n"/>
      <c r="G95" s="34" t="inlineStr">
        <is>
          <t>ERROR</t>
        </is>
      </c>
      <c r="H95" s="34" t="n"/>
      <c r="I95" s="34">
        <f>E95-H95*F95</f>
        <v/>
      </c>
    </row>
    <row r="96" hidden="1" ht="21" customHeight="1" s="30">
      <c r="A96" s="7" t="n">
        <v>94</v>
      </c>
      <c r="B96" s="36" t="n"/>
      <c r="C96" s="9">
        <f>I96/D96</f>
        <v/>
      </c>
      <c r="D96" s="34">
        <f>H96*F96</f>
        <v/>
      </c>
      <c r="E96" s="34">
        <f>G96*F96</f>
        <v/>
      </c>
      <c r="F96" s="34" t="n"/>
      <c r="G96" s="34" t="inlineStr">
        <is>
          <t>ERROR</t>
        </is>
      </c>
      <c r="H96" s="34" t="n"/>
      <c r="I96" s="34">
        <f>E96-H96*F96</f>
        <v/>
      </c>
    </row>
    <row r="97" hidden="1" ht="21" customHeight="1" s="30">
      <c r="A97" s="7" t="n">
        <v>95</v>
      </c>
      <c r="B97" s="36" t="n"/>
      <c r="C97" s="9">
        <f>I97/D97</f>
        <v/>
      </c>
      <c r="D97" s="34">
        <f>H97*F97</f>
        <v/>
      </c>
      <c r="E97" s="34">
        <f>G97*F97</f>
        <v/>
      </c>
      <c r="F97" s="34" t="n"/>
      <c r="G97" s="34" t="inlineStr">
        <is>
          <t>ERROR</t>
        </is>
      </c>
      <c r="H97" s="34" t="n"/>
      <c r="I97" s="34">
        <f>E97-H97*F97</f>
        <v/>
      </c>
    </row>
    <row r="98" hidden="1" ht="21" customHeight="1" s="30">
      <c r="A98" s="7" t="n">
        <v>96</v>
      </c>
      <c r="B98" s="36" t="n"/>
      <c r="C98" s="9">
        <f>I98/D98</f>
        <v/>
      </c>
      <c r="D98" s="34">
        <f>H98*F98</f>
        <v/>
      </c>
      <c r="E98" s="34">
        <f>G98*F98</f>
        <v/>
      </c>
      <c r="F98" s="34" t="n"/>
      <c r="G98" s="34" t="inlineStr">
        <is>
          <t>ERROR</t>
        </is>
      </c>
      <c r="H98" s="34" t="n"/>
      <c r="I98" s="34">
        <f>E98-H98*F98</f>
        <v/>
      </c>
    </row>
    <row r="99" hidden="1" ht="21" customHeight="1" s="30">
      <c r="A99" s="7" t="n">
        <v>97</v>
      </c>
      <c r="B99" s="36" t="n"/>
      <c r="C99" s="9">
        <f>I99/D99</f>
        <v/>
      </c>
      <c r="D99" s="34">
        <f>H99*F99</f>
        <v/>
      </c>
      <c r="E99" s="34">
        <f>G99*F99</f>
        <v/>
      </c>
      <c r="F99" s="34" t="n"/>
      <c r="G99" s="34" t="inlineStr">
        <is>
          <t>ERROR</t>
        </is>
      </c>
      <c r="H99" s="34" t="n"/>
      <c r="I99" s="34">
        <f>E99-H99*F99</f>
        <v/>
      </c>
    </row>
    <row r="100" hidden="1" ht="21" customHeight="1" s="30">
      <c r="A100" s="7" t="n">
        <v>98</v>
      </c>
      <c r="B100" s="36" t="n"/>
      <c r="C100" s="9">
        <f>I100/D100</f>
        <v/>
      </c>
      <c r="D100" s="34">
        <f>H100*F100</f>
        <v/>
      </c>
      <c r="E100" s="34">
        <f>G100*F100</f>
        <v/>
      </c>
      <c r="F100" s="34" t="n"/>
      <c r="G100" s="34" t="inlineStr">
        <is>
          <t>ERROR</t>
        </is>
      </c>
      <c r="H100" s="34" t="n"/>
      <c r="I100" s="34">
        <f>E100-H100*F100</f>
        <v/>
      </c>
    </row>
    <row r="101" hidden="1" ht="21" customHeight="1" s="30">
      <c r="A101" s="7" t="n">
        <v>99</v>
      </c>
      <c r="B101" s="36" t="n"/>
      <c r="C101" s="9">
        <f>I101/D101</f>
        <v/>
      </c>
      <c r="D101" s="34">
        <f>H101*F101</f>
        <v/>
      </c>
      <c r="E101" s="34">
        <f>G101*F101</f>
        <v/>
      </c>
      <c r="F101" s="34" t="n"/>
      <c r="G101" s="34" t="inlineStr">
        <is>
          <t>ERROR</t>
        </is>
      </c>
      <c r="H101" s="34" t="n"/>
      <c r="I101" s="34">
        <f>E101-H101*F101</f>
        <v/>
      </c>
    </row>
    <row r="102" hidden="1" ht="21" customHeight="1" s="30">
      <c r="A102" s="7" t="n">
        <v>100</v>
      </c>
      <c r="B102" s="36" t="n"/>
      <c r="C102" s="9">
        <f>I102/D102</f>
        <v/>
      </c>
      <c r="D102" s="34">
        <f>H102*F102</f>
        <v/>
      </c>
      <c r="E102" s="34">
        <f>G102*F102</f>
        <v/>
      </c>
      <c r="F102" s="34" t="n"/>
      <c r="G102" s="34" t="inlineStr">
        <is>
          <t>ERROR</t>
        </is>
      </c>
      <c r="H102" s="34" t="n"/>
      <c r="I102" s="34">
        <f>E102-H102*F102</f>
        <v/>
      </c>
    </row>
    <row r="103" hidden="1" ht="21" customHeight="1" s="30">
      <c r="A103" s="7" t="n">
        <v>101</v>
      </c>
      <c r="B103" s="36" t="n"/>
      <c r="C103" s="9">
        <f>I103/D103</f>
        <v/>
      </c>
      <c r="D103" s="34">
        <f>H103*F103</f>
        <v/>
      </c>
      <c r="E103" s="34">
        <f>G103*F103</f>
        <v/>
      </c>
      <c r="F103" s="34" t="n"/>
      <c r="G103" s="34" t="inlineStr">
        <is>
          <t>ERROR</t>
        </is>
      </c>
      <c r="H103" s="34" t="n"/>
      <c r="I103" s="34">
        <f>E103-H103*F103</f>
        <v/>
      </c>
    </row>
    <row r="104" hidden="1" ht="21" customHeight="1" s="30">
      <c r="A104" s="7" t="n">
        <v>102</v>
      </c>
      <c r="B104" s="36" t="n"/>
      <c r="C104" s="9">
        <f>I104/D104</f>
        <v/>
      </c>
      <c r="D104" s="34">
        <f>H104*F104</f>
        <v/>
      </c>
      <c r="E104" s="34">
        <f>G104*F104</f>
        <v/>
      </c>
      <c r="F104" s="34" t="n"/>
      <c r="G104" s="34" t="inlineStr">
        <is>
          <t>ERROR</t>
        </is>
      </c>
      <c r="H104" s="34" t="n"/>
      <c r="I104" s="34">
        <f>E104-H104*F104</f>
        <v/>
      </c>
    </row>
    <row r="105" hidden="1" ht="21" customHeight="1" s="30">
      <c r="A105" s="7" t="n">
        <v>103</v>
      </c>
      <c r="B105" s="36" t="n"/>
      <c r="C105" s="9">
        <f>I105/D105</f>
        <v/>
      </c>
      <c r="D105" s="34">
        <f>H105*F105</f>
        <v/>
      </c>
      <c r="E105" s="34">
        <f>G105*F105</f>
        <v/>
      </c>
      <c r="F105" s="34" t="n"/>
      <c r="G105" s="34" t="inlineStr">
        <is>
          <t>ERROR</t>
        </is>
      </c>
      <c r="H105" s="34" t="n"/>
      <c r="I105" s="34">
        <f>E105-H105*F105</f>
        <v/>
      </c>
    </row>
    <row r="106" hidden="1" ht="21" customHeight="1" s="30">
      <c r="A106" s="7" t="n">
        <v>104</v>
      </c>
      <c r="B106" s="36" t="n"/>
      <c r="C106" s="9">
        <f>I106/D106</f>
        <v/>
      </c>
      <c r="D106" s="34">
        <f>H106*F106</f>
        <v/>
      </c>
      <c r="E106" s="34">
        <f>G106*F106</f>
        <v/>
      </c>
      <c r="F106" s="34" t="n"/>
      <c r="G106" s="34" t="inlineStr">
        <is>
          <t>ERROR</t>
        </is>
      </c>
      <c r="H106" s="34" t="n"/>
      <c r="I106" s="34">
        <f>E106-H106*F106</f>
        <v/>
      </c>
    </row>
    <row r="107" hidden="1" ht="21" customHeight="1" s="30">
      <c r="A107" s="7" t="n">
        <v>105</v>
      </c>
      <c r="B107" s="36" t="n"/>
      <c r="C107" s="9">
        <f>I107/D107</f>
        <v/>
      </c>
      <c r="D107" s="34">
        <f>H107*F107</f>
        <v/>
      </c>
      <c r="E107" s="34">
        <f>G107*F107</f>
        <v/>
      </c>
      <c r="F107" s="34" t="n"/>
      <c r="G107" s="34" t="inlineStr">
        <is>
          <t>ERROR</t>
        </is>
      </c>
      <c r="H107" s="34" t="n"/>
      <c r="I107" s="34">
        <f>E107-H107*F107</f>
        <v/>
      </c>
    </row>
    <row r="108" hidden="1" ht="21" customHeight="1" s="30">
      <c r="A108" s="7" t="n">
        <v>106</v>
      </c>
      <c r="B108" s="36" t="n"/>
      <c r="C108" s="9">
        <f>I108/D108</f>
        <v/>
      </c>
      <c r="D108" s="34">
        <f>H108*F108</f>
        <v/>
      </c>
      <c r="E108" s="34">
        <f>G108*F108</f>
        <v/>
      </c>
      <c r="F108" s="34" t="n"/>
      <c r="G108" s="34" t="inlineStr">
        <is>
          <t>ERROR</t>
        </is>
      </c>
      <c r="H108" s="34" t="n"/>
      <c r="I108" s="34">
        <f>E108-H108*F108</f>
        <v/>
      </c>
    </row>
    <row r="109" hidden="1" ht="21" customHeight="1" s="30">
      <c r="A109" s="7" t="n">
        <v>107</v>
      </c>
      <c r="B109" s="36" t="n"/>
      <c r="C109" s="9">
        <f>I109/D109</f>
        <v/>
      </c>
      <c r="D109" s="34">
        <f>H109*F109</f>
        <v/>
      </c>
      <c r="E109" s="34">
        <f>G109*F109</f>
        <v/>
      </c>
      <c r="F109" s="34" t="n"/>
      <c r="G109" s="34" t="inlineStr">
        <is>
          <t>ERROR</t>
        </is>
      </c>
      <c r="H109" s="34" t="n"/>
      <c r="I109" s="34">
        <f>E109-H109*F109</f>
        <v/>
      </c>
    </row>
    <row r="110" hidden="1" ht="21" customHeight="1" s="30">
      <c r="A110" s="7" t="n">
        <v>108</v>
      </c>
      <c r="B110" s="36" t="n"/>
      <c r="C110" s="9">
        <f>I110/D110</f>
        <v/>
      </c>
      <c r="D110" s="34">
        <f>H110*F110</f>
        <v/>
      </c>
      <c r="E110" s="34">
        <f>G110*F110</f>
        <v/>
      </c>
      <c r="F110" s="34" t="n"/>
      <c r="G110" s="34" t="inlineStr">
        <is>
          <t>ERROR</t>
        </is>
      </c>
      <c r="H110" s="34" t="n"/>
      <c r="I110" s="34">
        <f>E110-H110*F110</f>
        <v/>
      </c>
    </row>
    <row r="111" hidden="1" ht="21" customHeight="1" s="30">
      <c r="A111" s="7" t="n">
        <v>109</v>
      </c>
      <c r="B111" s="36" t="n"/>
      <c r="C111" s="9">
        <f>I111/D111</f>
        <v/>
      </c>
      <c r="D111" s="34">
        <f>H111*F111</f>
        <v/>
      </c>
      <c r="E111" s="34">
        <f>G111*F111</f>
        <v/>
      </c>
      <c r="F111" s="34" t="n"/>
      <c r="G111" s="34" t="inlineStr">
        <is>
          <t>ERROR</t>
        </is>
      </c>
      <c r="H111" s="34" t="n"/>
      <c r="I111" s="34">
        <f>E111-H111*F111</f>
        <v/>
      </c>
    </row>
    <row r="112" hidden="1" ht="21" customHeight="1" s="30">
      <c r="A112" s="7" t="n">
        <v>110</v>
      </c>
      <c r="B112" s="36" t="n"/>
      <c r="C112" s="9">
        <f>I112/D112</f>
        <v/>
      </c>
      <c r="D112" s="34">
        <f>H112*F112</f>
        <v/>
      </c>
      <c r="E112" s="34">
        <f>G112*F112</f>
        <v/>
      </c>
      <c r="F112" s="34" t="n"/>
      <c r="G112" s="34" t="inlineStr">
        <is>
          <t>ERROR</t>
        </is>
      </c>
      <c r="H112" s="34" t="n"/>
      <c r="I112" s="34">
        <f>E112-H112*F112</f>
        <v/>
      </c>
    </row>
    <row r="113" hidden="1" ht="21" customHeight="1" s="30">
      <c r="A113" s="7" t="n">
        <v>111</v>
      </c>
      <c r="B113" s="36" t="n"/>
      <c r="C113" s="9">
        <f>I113/D113</f>
        <v/>
      </c>
      <c r="D113" s="34">
        <f>H113*F113</f>
        <v/>
      </c>
      <c r="E113" s="34">
        <f>G113*F113</f>
        <v/>
      </c>
      <c r="F113" s="34" t="n"/>
      <c r="G113" s="34" t="inlineStr">
        <is>
          <t>ERROR</t>
        </is>
      </c>
      <c r="H113" s="34" t="n"/>
      <c r="I113" s="34">
        <f>E113-H113*F113</f>
        <v/>
      </c>
    </row>
    <row r="114" hidden="1" ht="21" customHeight="1" s="30">
      <c r="A114" s="7" t="n">
        <v>112</v>
      </c>
      <c r="B114" s="36" t="n"/>
      <c r="C114" s="9">
        <f>I114/D114</f>
        <v/>
      </c>
      <c r="D114" s="34">
        <f>H114*F114</f>
        <v/>
      </c>
      <c r="E114" s="34">
        <f>G114*F114</f>
        <v/>
      </c>
      <c r="F114" s="34" t="n"/>
      <c r="G114" s="34" t="inlineStr">
        <is>
          <t>ERROR</t>
        </is>
      </c>
      <c r="H114" s="34" t="n"/>
      <c r="I114" s="34">
        <f>E114-H114*F114</f>
        <v/>
      </c>
    </row>
    <row r="115" hidden="1" ht="21" customHeight="1" s="30">
      <c r="A115" s="7" t="n">
        <v>113</v>
      </c>
      <c r="B115" s="36" t="n"/>
      <c r="C115" s="9">
        <f>I115/D115</f>
        <v/>
      </c>
      <c r="D115" s="34">
        <f>H115*F115</f>
        <v/>
      </c>
      <c r="E115" s="34">
        <f>G115*F115</f>
        <v/>
      </c>
      <c r="F115" s="34" t="n"/>
      <c r="G115" s="34" t="inlineStr">
        <is>
          <t>ERROR</t>
        </is>
      </c>
      <c r="H115" s="34" t="n"/>
      <c r="I115" s="34">
        <f>E115-H115*F115</f>
        <v/>
      </c>
    </row>
    <row r="116" hidden="1" ht="21" customHeight="1" s="30">
      <c r="A116" s="7" t="n">
        <v>114</v>
      </c>
      <c r="B116" s="36" t="n"/>
      <c r="C116" s="9">
        <f>I116/D116</f>
        <v/>
      </c>
      <c r="D116" s="34">
        <f>H116*F116</f>
        <v/>
      </c>
      <c r="E116" s="34">
        <f>G116*F116</f>
        <v/>
      </c>
      <c r="F116" s="34" t="n"/>
      <c r="G116" s="34" t="inlineStr">
        <is>
          <t>ERROR</t>
        </is>
      </c>
      <c r="H116" s="34" t="n"/>
      <c r="I116" s="34">
        <f>E116-H116*F116</f>
        <v/>
      </c>
    </row>
    <row r="117" hidden="1" ht="21" customHeight="1" s="30">
      <c r="A117" s="7" t="n">
        <v>115</v>
      </c>
      <c r="B117" s="36" t="n"/>
      <c r="C117" s="9">
        <f>I117/D117</f>
        <v/>
      </c>
      <c r="D117" s="34">
        <f>H117*F117</f>
        <v/>
      </c>
      <c r="E117" s="34">
        <f>G117*F117</f>
        <v/>
      </c>
      <c r="F117" s="34" t="n"/>
      <c r="G117" s="34" t="inlineStr">
        <is>
          <t>ERROR</t>
        </is>
      </c>
      <c r="H117" s="34" t="n"/>
      <c r="I117" s="34">
        <f>E117-H117*F117</f>
        <v/>
      </c>
    </row>
    <row r="118" hidden="1" ht="21" customHeight="1" s="30">
      <c r="A118" s="7" t="n">
        <v>116</v>
      </c>
      <c r="B118" s="36" t="n"/>
      <c r="C118" s="9">
        <f>I118/D118</f>
        <v/>
      </c>
      <c r="D118" s="34">
        <f>H118*F118</f>
        <v/>
      </c>
      <c r="E118" s="34">
        <f>G118*F118</f>
        <v/>
      </c>
      <c r="F118" s="34" t="n"/>
      <c r="G118" s="34" t="inlineStr">
        <is>
          <t>ERROR</t>
        </is>
      </c>
      <c r="H118" s="34" t="n"/>
      <c r="I118" s="34">
        <f>E118-H118*F118</f>
        <v/>
      </c>
    </row>
    <row r="119" hidden="1" ht="21" customHeight="1" s="30">
      <c r="A119" s="7" t="n">
        <v>117</v>
      </c>
      <c r="B119" s="36" t="n"/>
      <c r="C119" s="9">
        <f>I119/D119</f>
        <v/>
      </c>
      <c r="D119" s="34">
        <f>H119*F119</f>
        <v/>
      </c>
      <c r="E119" s="34">
        <f>G119*F119</f>
        <v/>
      </c>
      <c r="F119" s="34" t="n"/>
      <c r="G119" s="34" t="inlineStr">
        <is>
          <t>ERROR</t>
        </is>
      </c>
      <c r="H119" s="34" t="n"/>
      <c r="I119" s="34">
        <f>E119-H119*F119</f>
        <v/>
      </c>
    </row>
    <row r="120" hidden="1" ht="21" customHeight="1" s="30">
      <c r="A120" s="7" t="n">
        <v>118</v>
      </c>
      <c r="B120" s="36" t="n"/>
      <c r="C120" s="9">
        <f>I120/D120</f>
        <v/>
      </c>
      <c r="D120" s="34">
        <f>H120*F120</f>
        <v/>
      </c>
      <c r="E120" s="34">
        <f>G120*F120</f>
        <v/>
      </c>
      <c r="F120" s="34" t="n"/>
      <c r="G120" s="34" t="inlineStr">
        <is>
          <t>ERROR</t>
        </is>
      </c>
      <c r="H120" s="34" t="n"/>
      <c r="I120" s="34">
        <f>E120-H120*F120</f>
        <v/>
      </c>
    </row>
    <row r="121" hidden="1" ht="21" customHeight="1" s="30">
      <c r="A121" s="7" t="n">
        <v>119</v>
      </c>
      <c r="B121" s="36" t="n"/>
      <c r="C121" s="9">
        <f>I121/D121</f>
        <v/>
      </c>
      <c r="D121" s="34">
        <f>H121*F121</f>
        <v/>
      </c>
      <c r="E121" s="34">
        <f>G121*F121</f>
        <v/>
      </c>
      <c r="F121" s="34" t="n"/>
      <c r="G121" s="34" t="inlineStr">
        <is>
          <t>ERROR</t>
        </is>
      </c>
      <c r="H121" s="34" t="n"/>
      <c r="I121" s="34">
        <f>E121-H121*F121</f>
        <v/>
      </c>
    </row>
    <row r="122" hidden="1" ht="21" customHeight="1" s="30">
      <c r="A122" s="7" t="n">
        <v>120</v>
      </c>
      <c r="B122" s="36" t="n"/>
      <c r="C122" s="9">
        <f>I122/D122</f>
        <v/>
      </c>
      <c r="D122" s="34">
        <f>H122*F122</f>
        <v/>
      </c>
      <c r="E122" s="34">
        <f>G122*F122</f>
        <v/>
      </c>
      <c r="F122" s="34" t="n"/>
      <c r="G122" s="34" t="inlineStr">
        <is>
          <t>ERROR</t>
        </is>
      </c>
      <c r="H122" s="34" t="n"/>
      <c r="I122" s="34">
        <f>E122-H122*F122</f>
        <v/>
      </c>
    </row>
    <row r="123" hidden="1" ht="21" customHeight="1" s="30">
      <c r="A123" s="7" t="n">
        <v>121</v>
      </c>
      <c r="B123" s="36" t="n"/>
      <c r="C123" s="9">
        <f>I123/D123</f>
        <v/>
      </c>
      <c r="D123" s="34">
        <f>H123*F123</f>
        <v/>
      </c>
      <c r="E123" s="34">
        <f>G123*F123</f>
        <v/>
      </c>
      <c r="F123" s="34" t="n"/>
      <c r="G123" s="34" t="inlineStr">
        <is>
          <t>ERROR</t>
        </is>
      </c>
      <c r="H123" s="34" t="n"/>
      <c r="I123" s="34">
        <f>E123-H123*F123</f>
        <v/>
      </c>
    </row>
    <row r="124" hidden="1" ht="21" customHeight="1" s="30">
      <c r="A124" s="7" t="n">
        <v>122</v>
      </c>
      <c r="B124" s="36" t="n"/>
      <c r="C124" s="9">
        <f>I124/D124</f>
        <v/>
      </c>
      <c r="D124" s="34">
        <f>H124*F124</f>
        <v/>
      </c>
      <c r="E124" s="34">
        <f>G124*F124</f>
        <v/>
      </c>
      <c r="F124" s="34" t="n"/>
      <c r="G124" s="34" t="inlineStr">
        <is>
          <t>ERROR</t>
        </is>
      </c>
      <c r="H124" s="34" t="n"/>
      <c r="I124" s="34">
        <f>E124-H124*F124</f>
        <v/>
      </c>
    </row>
    <row r="125" hidden="1" ht="21" customHeight="1" s="30">
      <c r="A125" s="7" t="n">
        <v>123</v>
      </c>
      <c r="B125" s="36" t="n"/>
      <c r="C125" s="9">
        <f>I125/D125</f>
        <v/>
      </c>
      <c r="D125" s="34">
        <f>H125*F125</f>
        <v/>
      </c>
      <c r="E125" s="34">
        <f>G125*F125</f>
        <v/>
      </c>
      <c r="F125" s="34" t="n"/>
      <c r="G125" s="34" t="inlineStr">
        <is>
          <t>ERROR</t>
        </is>
      </c>
      <c r="H125" s="34" t="n"/>
      <c r="I125" s="34">
        <f>E125-H125*F125</f>
        <v/>
      </c>
    </row>
    <row r="126" hidden="1" ht="21" customHeight="1" s="30">
      <c r="A126" s="7" t="n">
        <v>124</v>
      </c>
      <c r="B126" s="36" t="n"/>
      <c r="C126" s="9">
        <f>I126/D126</f>
        <v/>
      </c>
      <c r="D126" s="34">
        <f>H126*F126</f>
        <v/>
      </c>
      <c r="E126" s="34">
        <f>G126*F126</f>
        <v/>
      </c>
      <c r="F126" s="34" t="n"/>
      <c r="G126" s="34" t="inlineStr">
        <is>
          <t>ERROR</t>
        </is>
      </c>
      <c r="H126" s="34" t="n"/>
      <c r="I126" s="34">
        <f>E126-H126*F126</f>
        <v/>
      </c>
    </row>
    <row r="127" hidden="1" ht="21" customHeight="1" s="30">
      <c r="A127" s="7" t="n">
        <v>125</v>
      </c>
      <c r="B127" s="36" t="n"/>
      <c r="C127" s="9">
        <f>I127/D127</f>
        <v/>
      </c>
      <c r="D127" s="34">
        <f>H127*F127</f>
        <v/>
      </c>
      <c r="E127" s="34">
        <f>G127*F127</f>
        <v/>
      </c>
      <c r="F127" s="34" t="n"/>
      <c r="G127" s="34" t="inlineStr">
        <is>
          <t>ERROR</t>
        </is>
      </c>
      <c r="H127" s="34" t="n"/>
      <c r="I127" s="34">
        <f>E127-H127*F127</f>
        <v/>
      </c>
    </row>
    <row r="128" hidden="1" ht="21" customHeight="1" s="30">
      <c r="A128" s="7" t="n">
        <v>126</v>
      </c>
      <c r="B128" s="36" t="n"/>
      <c r="C128" s="9">
        <f>I128/D128</f>
        <v/>
      </c>
      <c r="D128" s="34">
        <f>H128*F128</f>
        <v/>
      </c>
      <c r="E128" s="34">
        <f>G128*F128</f>
        <v/>
      </c>
      <c r="F128" s="34" t="n"/>
      <c r="G128" s="34" t="inlineStr">
        <is>
          <t>ERROR</t>
        </is>
      </c>
      <c r="H128" s="34" t="n"/>
      <c r="I128" s="34">
        <f>E128-H128*F128</f>
        <v/>
      </c>
    </row>
    <row r="129" hidden="1" ht="21" customHeight="1" s="30">
      <c r="A129" s="7" t="n">
        <v>127</v>
      </c>
      <c r="B129" s="36" t="n"/>
      <c r="C129" s="9">
        <f>I129/D129</f>
        <v/>
      </c>
      <c r="D129" s="34">
        <f>H129*F129</f>
        <v/>
      </c>
      <c r="E129" s="34">
        <f>G129*F129</f>
        <v/>
      </c>
      <c r="F129" s="34" t="n"/>
      <c r="G129" s="34" t="inlineStr">
        <is>
          <t>ERROR</t>
        </is>
      </c>
      <c r="H129" s="34" t="n"/>
      <c r="I129" s="34">
        <f>E129-H129*F129</f>
        <v/>
      </c>
    </row>
    <row r="130" hidden="1" ht="21" customHeight="1" s="30">
      <c r="A130" s="7" t="n">
        <v>128</v>
      </c>
      <c r="B130" s="36" t="n"/>
      <c r="C130" s="9">
        <f>I130/D130</f>
        <v/>
      </c>
      <c r="D130" s="34">
        <f>H130*F130</f>
        <v/>
      </c>
      <c r="E130" s="34">
        <f>G130*F130</f>
        <v/>
      </c>
      <c r="F130" s="34" t="n"/>
      <c r="G130" s="34" t="inlineStr">
        <is>
          <t>ERROR</t>
        </is>
      </c>
      <c r="H130" s="34" t="n"/>
      <c r="I130" s="34">
        <f>E130-H130*F130</f>
        <v/>
      </c>
    </row>
    <row r="131" hidden="1" ht="21" customHeight="1" s="30">
      <c r="A131" s="7" t="n">
        <v>129</v>
      </c>
      <c r="B131" s="36" t="n"/>
      <c r="C131" s="9">
        <f>I131/D131</f>
        <v/>
      </c>
      <c r="D131" s="34">
        <f>H131*F131</f>
        <v/>
      </c>
      <c r="E131" s="34">
        <f>G131*F131</f>
        <v/>
      </c>
      <c r="F131" s="34" t="n"/>
      <c r="G131" s="34" t="inlineStr">
        <is>
          <t>ERROR</t>
        </is>
      </c>
      <c r="H131" s="34" t="n"/>
      <c r="I131" s="34">
        <f>E131-H131*F131</f>
        <v/>
      </c>
    </row>
    <row r="132" hidden="1" ht="21" customHeight="1" s="30">
      <c r="A132" s="7" t="n">
        <v>130</v>
      </c>
      <c r="B132" s="36" t="n"/>
      <c r="C132" s="9">
        <f>I132/D132</f>
        <v/>
      </c>
      <c r="D132" s="34">
        <f>H132*F132</f>
        <v/>
      </c>
      <c r="E132" s="34">
        <f>G132*F132</f>
        <v/>
      </c>
      <c r="F132" s="34" t="n"/>
      <c r="G132" s="34" t="inlineStr">
        <is>
          <t>ERROR</t>
        </is>
      </c>
      <c r="H132" s="34" t="n"/>
      <c r="I132" s="34">
        <f>E132-H132*F132</f>
        <v/>
      </c>
    </row>
    <row r="133" hidden="1" ht="21" customHeight="1" s="30">
      <c r="A133" s="7" t="n">
        <v>131</v>
      </c>
      <c r="B133" s="36" t="n"/>
      <c r="C133" s="9">
        <f>I133/D133</f>
        <v/>
      </c>
      <c r="D133" s="34">
        <f>H133*F133</f>
        <v/>
      </c>
      <c r="E133" s="34">
        <f>G133*F133</f>
        <v/>
      </c>
      <c r="F133" s="34" t="n"/>
      <c r="G133" s="34" t="inlineStr">
        <is>
          <t>ERROR</t>
        </is>
      </c>
      <c r="H133" s="34" t="n"/>
      <c r="I133" s="34">
        <f>E133-H133*F133</f>
        <v/>
      </c>
    </row>
    <row r="134" hidden="1" ht="21" customHeight="1" s="30">
      <c r="A134" s="7" t="n">
        <v>132</v>
      </c>
      <c r="B134" s="36" t="n"/>
      <c r="C134" s="9">
        <f>I134/D134</f>
        <v/>
      </c>
      <c r="D134" s="34">
        <f>H134*F134</f>
        <v/>
      </c>
      <c r="E134" s="34">
        <f>G134*F134</f>
        <v/>
      </c>
      <c r="F134" s="34" t="n"/>
      <c r="G134" s="34" t="inlineStr">
        <is>
          <t>ERROR</t>
        </is>
      </c>
      <c r="H134" s="34" t="n"/>
      <c r="I134" s="34">
        <f>E134-H134*F134</f>
        <v/>
      </c>
    </row>
    <row r="135" hidden="1" ht="21" customHeight="1" s="30">
      <c r="A135" s="7" t="n">
        <v>133</v>
      </c>
      <c r="B135" s="36" t="n"/>
      <c r="C135" s="9">
        <f>I135/D135</f>
        <v/>
      </c>
      <c r="D135" s="34">
        <f>H135*F135</f>
        <v/>
      </c>
      <c r="E135" s="34">
        <f>G135*F135</f>
        <v/>
      </c>
      <c r="F135" s="34" t="n"/>
      <c r="G135" s="34" t="inlineStr">
        <is>
          <t>ERROR</t>
        </is>
      </c>
      <c r="H135" s="34" t="n"/>
      <c r="I135" s="34">
        <f>E135-H135*F135</f>
        <v/>
      </c>
    </row>
    <row r="136" hidden="1" ht="21" customHeight="1" s="30">
      <c r="A136" s="7" t="n">
        <v>134</v>
      </c>
      <c r="B136" s="36" t="n"/>
      <c r="C136" s="9">
        <f>I136/D136</f>
        <v/>
      </c>
      <c r="D136" s="34">
        <f>H136*F136</f>
        <v/>
      </c>
      <c r="E136" s="34">
        <f>G136*F136</f>
        <v/>
      </c>
      <c r="F136" s="34" t="n"/>
      <c r="G136" s="34" t="inlineStr">
        <is>
          <t>ERROR</t>
        </is>
      </c>
      <c r="H136" s="34" t="n"/>
      <c r="I136" s="34">
        <f>E136-H136*F136</f>
        <v/>
      </c>
    </row>
    <row r="137" hidden="1" ht="21" customHeight="1" s="30">
      <c r="A137" s="7" t="n">
        <v>135</v>
      </c>
      <c r="B137" s="36" t="n"/>
      <c r="C137" s="9">
        <f>I137/D137</f>
        <v/>
      </c>
      <c r="D137" s="34">
        <f>H137*F137</f>
        <v/>
      </c>
      <c r="E137" s="34">
        <f>G137*F137</f>
        <v/>
      </c>
      <c r="F137" s="34" t="n"/>
      <c r="G137" s="34" t="inlineStr">
        <is>
          <t>ERROR</t>
        </is>
      </c>
      <c r="H137" s="34" t="n"/>
      <c r="I137" s="34">
        <f>E137-H137*F137</f>
        <v/>
      </c>
    </row>
    <row r="138" hidden="1" ht="21" customHeight="1" s="30">
      <c r="A138" s="7" t="n">
        <v>136</v>
      </c>
      <c r="B138" s="36" t="n"/>
      <c r="C138" s="9">
        <f>I138/D138</f>
        <v/>
      </c>
      <c r="D138" s="34">
        <f>H138*F138</f>
        <v/>
      </c>
      <c r="E138" s="34">
        <f>G138*F138</f>
        <v/>
      </c>
      <c r="F138" s="34" t="n"/>
      <c r="G138" s="34" t="inlineStr">
        <is>
          <t>ERROR</t>
        </is>
      </c>
      <c r="H138" s="34" t="n"/>
      <c r="I138" s="34">
        <f>E138-H138*F138</f>
        <v/>
      </c>
    </row>
    <row r="139" hidden="1" ht="21" customHeight="1" s="30">
      <c r="A139" s="7" t="n">
        <v>137</v>
      </c>
      <c r="B139" s="36" t="n"/>
      <c r="C139" s="9">
        <f>I139/D139</f>
        <v/>
      </c>
      <c r="D139" s="34">
        <f>H139*F139</f>
        <v/>
      </c>
      <c r="E139" s="34">
        <f>G139*F139</f>
        <v/>
      </c>
      <c r="F139" s="34" t="n"/>
      <c r="G139" s="34" t="inlineStr">
        <is>
          <t>ERROR</t>
        </is>
      </c>
      <c r="H139" s="34" t="n"/>
      <c r="I139" s="34">
        <f>E139-H139*F139</f>
        <v/>
      </c>
    </row>
    <row r="140" hidden="1" ht="21" customHeight="1" s="30">
      <c r="A140" s="7" t="n">
        <v>138</v>
      </c>
      <c r="B140" s="36" t="n"/>
      <c r="C140" s="9">
        <f>I140/D140</f>
        <v/>
      </c>
      <c r="D140" s="34">
        <f>H140*F140</f>
        <v/>
      </c>
      <c r="E140" s="34">
        <f>G140*F140</f>
        <v/>
      </c>
      <c r="F140" s="34" t="n"/>
      <c r="G140" s="34" t="inlineStr">
        <is>
          <t>ERROR</t>
        </is>
      </c>
      <c r="H140" s="34" t="n"/>
      <c r="I140" s="34">
        <f>E140-H140*F140</f>
        <v/>
      </c>
    </row>
    <row r="141" hidden="1" ht="21" customHeight="1" s="30">
      <c r="A141" s="7" t="n">
        <v>139</v>
      </c>
      <c r="B141" s="36" t="n"/>
      <c r="C141" s="9">
        <f>I141/D141</f>
        <v/>
      </c>
      <c r="D141" s="34">
        <f>H141*F141</f>
        <v/>
      </c>
      <c r="E141" s="34">
        <f>G141*F141</f>
        <v/>
      </c>
      <c r="F141" s="34" t="n"/>
      <c r="G141" s="34" t="inlineStr">
        <is>
          <t>ERROR</t>
        </is>
      </c>
      <c r="H141" s="34" t="n"/>
      <c r="I141" s="34">
        <f>E141-H141*F141</f>
        <v/>
      </c>
    </row>
    <row r="142" hidden="1" ht="21" customHeight="1" s="30">
      <c r="A142" s="7" t="n">
        <v>140</v>
      </c>
      <c r="B142" s="36" t="n"/>
      <c r="C142" s="9">
        <f>I142/D142</f>
        <v/>
      </c>
      <c r="D142" s="34">
        <f>H142*F142</f>
        <v/>
      </c>
      <c r="E142" s="34">
        <f>G142*F142</f>
        <v/>
      </c>
      <c r="F142" s="34" t="n"/>
      <c r="G142" s="34" t="inlineStr">
        <is>
          <t>ERROR</t>
        </is>
      </c>
      <c r="H142" s="34" t="n"/>
      <c r="I142" s="34">
        <f>E142-H142*F142</f>
        <v/>
      </c>
    </row>
    <row r="143" hidden="1" ht="21" customHeight="1" s="30">
      <c r="A143" s="7" t="n">
        <v>141</v>
      </c>
      <c r="B143" s="36" t="n"/>
      <c r="C143" s="9">
        <f>I143/D143</f>
        <v/>
      </c>
      <c r="D143" s="34">
        <f>H143*F143</f>
        <v/>
      </c>
      <c r="E143" s="34">
        <f>G143*F143</f>
        <v/>
      </c>
      <c r="F143" s="34" t="n"/>
      <c r="G143" s="34" t="inlineStr">
        <is>
          <t>ERROR</t>
        </is>
      </c>
      <c r="H143" s="34" t="n"/>
      <c r="I143" s="34">
        <f>E143-H143*F143</f>
        <v/>
      </c>
    </row>
    <row r="144" hidden="1" ht="21" customHeight="1" s="30">
      <c r="A144" s="7" t="n">
        <v>142</v>
      </c>
      <c r="B144" s="36" t="n"/>
      <c r="C144" s="9">
        <f>I144/D144</f>
        <v/>
      </c>
      <c r="D144" s="34">
        <f>H144*F144</f>
        <v/>
      </c>
      <c r="E144" s="34">
        <f>G144*F144</f>
        <v/>
      </c>
      <c r="F144" s="34" t="n"/>
      <c r="G144" s="34" t="inlineStr">
        <is>
          <t>ERROR</t>
        </is>
      </c>
      <c r="H144" s="34" t="n"/>
      <c r="I144" s="34">
        <f>E144-H144*F144</f>
        <v/>
      </c>
    </row>
    <row r="145" hidden="1" ht="21" customHeight="1" s="30">
      <c r="A145" s="7" t="n">
        <v>143</v>
      </c>
      <c r="B145" s="36" t="n"/>
      <c r="C145" s="9">
        <f>I145/D145</f>
        <v/>
      </c>
      <c r="D145" s="34">
        <f>H145*F145</f>
        <v/>
      </c>
      <c r="E145" s="34">
        <f>G145*F145</f>
        <v/>
      </c>
      <c r="F145" s="34" t="n"/>
      <c r="G145" s="34" t="inlineStr">
        <is>
          <t>ERROR</t>
        </is>
      </c>
      <c r="H145" s="34" t="n"/>
      <c r="I145" s="34">
        <f>E145-H145*F145</f>
        <v/>
      </c>
    </row>
    <row r="146" hidden="1" ht="21" customHeight="1" s="30">
      <c r="A146" s="7" t="n">
        <v>144</v>
      </c>
      <c r="B146" s="36" t="n"/>
      <c r="C146" s="9">
        <f>I146/D146</f>
        <v/>
      </c>
      <c r="D146" s="34">
        <f>H146*F146</f>
        <v/>
      </c>
      <c r="E146" s="34">
        <f>G146*F146</f>
        <v/>
      </c>
      <c r="F146" s="34" t="n"/>
      <c r="G146" s="34" t="inlineStr">
        <is>
          <t>ERROR</t>
        </is>
      </c>
      <c r="H146" s="34" t="n"/>
      <c r="I146" s="34">
        <f>E146-H146*F146</f>
        <v/>
      </c>
    </row>
    <row r="147" hidden="1" ht="21" customHeight="1" s="30">
      <c r="A147" s="7" t="n">
        <v>145</v>
      </c>
      <c r="B147" s="36" t="n"/>
      <c r="C147" s="9">
        <f>I147/D147</f>
        <v/>
      </c>
      <c r="D147" s="34">
        <f>H147*F147</f>
        <v/>
      </c>
      <c r="E147" s="34">
        <f>G147*F147</f>
        <v/>
      </c>
      <c r="F147" s="34" t="n"/>
      <c r="G147" s="34" t="inlineStr">
        <is>
          <t>ERROR</t>
        </is>
      </c>
      <c r="H147" s="34" t="n"/>
      <c r="I147" s="34">
        <f>E147-H147*F147</f>
        <v/>
      </c>
    </row>
    <row r="148" hidden="1" ht="21" customHeight="1" s="30">
      <c r="A148" s="7" t="n">
        <v>146</v>
      </c>
      <c r="B148" s="36" t="n"/>
      <c r="C148" s="9">
        <f>I148/D148</f>
        <v/>
      </c>
      <c r="D148" s="34">
        <f>H148*F148</f>
        <v/>
      </c>
      <c r="E148" s="34">
        <f>G148*F148</f>
        <v/>
      </c>
      <c r="F148" s="34" t="n"/>
      <c r="G148" s="34" t="inlineStr">
        <is>
          <t>ERROR</t>
        </is>
      </c>
      <c r="H148" s="34" t="n"/>
      <c r="I148" s="34">
        <f>E148-H148*F148</f>
        <v/>
      </c>
    </row>
    <row r="149" hidden="1" ht="21" customHeight="1" s="30">
      <c r="A149" s="7" t="n">
        <v>147</v>
      </c>
      <c r="B149" s="36" t="n"/>
      <c r="C149" s="9">
        <f>I149/D149</f>
        <v/>
      </c>
      <c r="D149" s="34">
        <f>H149*F149</f>
        <v/>
      </c>
      <c r="E149" s="34">
        <f>G149*F149</f>
        <v/>
      </c>
      <c r="F149" s="34" t="n"/>
      <c r="G149" s="34" t="inlineStr">
        <is>
          <t>ERROR</t>
        </is>
      </c>
      <c r="H149" s="34" t="n"/>
      <c r="I149" s="34">
        <f>E149-H149*F149</f>
        <v/>
      </c>
    </row>
    <row r="150" hidden="1" ht="21" customHeight="1" s="30">
      <c r="A150" s="7" t="n">
        <v>148</v>
      </c>
      <c r="B150" s="36" t="n"/>
      <c r="C150" s="9">
        <f>I150/D150</f>
        <v/>
      </c>
      <c r="D150" s="34">
        <f>H150*F150</f>
        <v/>
      </c>
      <c r="E150" s="34">
        <f>G150*F150</f>
        <v/>
      </c>
      <c r="F150" s="34" t="n"/>
      <c r="G150" s="34" t="inlineStr">
        <is>
          <t>ERROR</t>
        </is>
      </c>
      <c r="H150" s="34" t="n"/>
      <c r="I150" s="34">
        <f>E150-H150*F150</f>
        <v/>
      </c>
    </row>
    <row r="151" hidden="1" ht="21" customHeight="1" s="30">
      <c r="A151" s="7" t="n">
        <v>149</v>
      </c>
      <c r="B151" s="36" t="n"/>
      <c r="C151" s="9">
        <f>I151/D151</f>
        <v/>
      </c>
      <c r="D151" s="34">
        <f>H151*F151</f>
        <v/>
      </c>
      <c r="E151" s="34">
        <f>G151*F151</f>
        <v/>
      </c>
      <c r="F151" s="34" t="n"/>
      <c r="G151" s="34" t="inlineStr">
        <is>
          <t>ERROR</t>
        </is>
      </c>
      <c r="H151" s="34" t="n"/>
      <c r="I151" s="34">
        <f>E151-H151*F151</f>
        <v/>
      </c>
    </row>
    <row r="152" hidden="1" ht="21" customHeight="1" s="30">
      <c r="A152" s="7" t="n">
        <v>150</v>
      </c>
      <c r="B152" s="36" t="n"/>
      <c r="C152" s="9">
        <f>I152/D152</f>
        <v/>
      </c>
      <c r="D152" s="34">
        <f>H152*F152</f>
        <v/>
      </c>
      <c r="E152" s="34">
        <f>G152*F152</f>
        <v/>
      </c>
      <c r="F152" s="34" t="n"/>
      <c r="G152" s="34" t="inlineStr">
        <is>
          <t>ERROR</t>
        </is>
      </c>
      <c r="H152" s="34" t="n"/>
      <c r="I152" s="34">
        <f>E152-H152*F152</f>
        <v/>
      </c>
    </row>
    <row r="153" hidden="1" ht="21" customHeight="1" s="30">
      <c r="A153" s="7" t="n">
        <v>151</v>
      </c>
      <c r="B153" s="36" t="n"/>
      <c r="C153" s="9">
        <f>I153/D153</f>
        <v/>
      </c>
      <c r="D153" s="34">
        <f>H153*F153</f>
        <v/>
      </c>
      <c r="E153" s="34">
        <f>G153*F153</f>
        <v/>
      </c>
      <c r="F153" s="34" t="n"/>
      <c r="G153" s="34" t="inlineStr">
        <is>
          <t>ERROR</t>
        </is>
      </c>
      <c r="H153" s="34" t="n"/>
      <c r="I153" s="34">
        <f>E153-H153*F153</f>
        <v/>
      </c>
    </row>
    <row r="154" hidden="1" ht="21" customHeight="1" s="30">
      <c r="A154" s="7" t="n">
        <v>152</v>
      </c>
      <c r="B154" s="36" t="n"/>
      <c r="C154" s="9">
        <f>I154/D154</f>
        <v/>
      </c>
      <c r="D154" s="34">
        <f>H154*F154</f>
        <v/>
      </c>
      <c r="E154" s="34">
        <f>G154*F154</f>
        <v/>
      </c>
      <c r="F154" s="34" t="n"/>
      <c r="G154" s="34" t="inlineStr">
        <is>
          <t>ERROR</t>
        </is>
      </c>
      <c r="H154" s="34" t="n"/>
      <c r="I154" s="34">
        <f>E154-H154*F154</f>
        <v/>
      </c>
    </row>
    <row r="155" hidden="1" ht="21" customHeight="1" s="30">
      <c r="A155" s="7" t="n">
        <v>153</v>
      </c>
      <c r="B155" s="36" t="n"/>
      <c r="C155" s="9">
        <f>I155/D155</f>
        <v/>
      </c>
      <c r="D155" s="34">
        <f>H155*F155</f>
        <v/>
      </c>
      <c r="E155" s="34">
        <f>G155*F155</f>
        <v/>
      </c>
      <c r="F155" s="34" t="n"/>
      <c r="G155" s="34" t="inlineStr">
        <is>
          <t>ERROR</t>
        </is>
      </c>
      <c r="H155" s="34" t="n"/>
      <c r="I155" s="34">
        <f>E155-H155*F155</f>
        <v/>
      </c>
    </row>
    <row r="156" hidden="1" ht="21" customHeight="1" s="30">
      <c r="A156" s="7" t="n">
        <v>154</v>
      </c>
      <c r="B156" s="36" t="n"/>
      <c r="C156" s="9">
        <f>I156/D156</f>
        <v/>
      </c>
      <c r="D156" s="34">
        <f>H156*F156</f>
        <v/>
      </c>
      <c r="E156" s="34">
        <f>G156*F156</f>
        <v/>
      </c>
      <c r="F156" s="34" t="n"/>
      <c r="G156" s="34" t="inlineStr">
        <is>
          <t>ERROR</t>
        </is>
      </c>
      <c r="H156" s="34" t="n"/>
      <c r="I156" s="34">
        <f>E156-H156*F156</f>
        <v/>
      </c>
    </row>
    <row r="157" hidden="1" ht="21" customHeight="1" s="30">
      <c r="A157" s="7" t="n">
        <v>155</v>
      </c>
      <c r="B157" s="36" t="n"/>
      <c r="C157" s="9">
        <f>I157/D157</f>
        <v/>
      </c>
      <c r="D157" s="34">
        <f>H157*F157</f>
        <v/>
      </c>
      <c r="E157" s="34">
        <f>G157*F157</f>
        <v/>
      </c>
      <c r="F157" s="34" t="n"/>
      <c r="G157" s="34" t="inlineStr">
        <is>
          <t>ERROR</t>
        </is>
      </c>
      <c r="H157" s="34" t="n"/>
      <c r="I157" s="34">
        <f>E157-H157*F157</f>
        <v/>
      </c>
    </row>
    <row r="158" hidden="1" ht="21" customHeight="1" s="30">
      <c r="A158" s="7" t="n">
        <v>156</v>
      </c>
      <c r="B158" s="36" t="n"/>
      <c r="C158" s="9">
        <f>I158/D158</f>
        <v/>
      </c>
      <c r="D158" s="34">
        <f>H158*F158</f>
        <v/>
      </c>
      <c r="E158" s="34">
        <f>G158*F158</f>
        <v/>
      </c>
      <c r="F158" s="34" t="n"/>
      <c r="G158" s="34" t="inlineStr">
        <is>
          <t>ERROR</t>
        </is>
      </c>
      <c r="H158" s="34" t="n"/>
      <c r="I158" s="34">
        <f>E158-H158*F158</f>
        <v/>
      </c>
    </row>
    <row r="159" hidden="1" ht="21" customHeight="1" s="30">
      <c r="A159" s="7" t="n">
        <v>157</v>
      </c>
      <c r="B159" s="36" t="n"/>
      <c r="C159" s="9">
        <f>I159/D159</f>
        <v/>
      </c>
      <c r="D159" s="34">
        <f>H159*F159</f>
        <v/>
      </c>
      <c r="E159" s="34">
        <f>G159*F159</f>
        <v/>
      </c>
      <c r="F159" s="34" t="n"/>
      <c r="G159" s="34" t="inlineStr">
        <is>
          <t>ERROR</t>
        </is>
      </c>
      <c r="H159" s="34" t="n"/>
      <c r="I159" s="34">
        <f>E159-H159*F159</f>
        <v/>
      </c>
    </row>
    <row r="160" hidden="1" ht="21" customHeight="1" s="30">
      <c r="A160" s="7" t="n">
        <v>158</v>
      </c>
      <c r="B160" s="36" t="n"/>
      <c r="C160" s="9">
        <f>I160/D160</f>
        <v/>
      </c>
      <c r="D160" s="34">
        <f>H160*F160</f>
        <v/>
      </c>
      <c r="E160" s="34">
        <f>G160*F160</f>
        <v/>
      </c>
      <c r="F160" s="34" t="n"/>
      <c r="G160" s="34" t="inlineStr">
        <is>
          <t>ERROR</t>
        </is>
      </c>
      <c r="H160" s="34" t="n"/>
      <c r="I160" s="34">
        <f>E160-H160*F160</f>
        <v/>
      </c>
    </row>
    <row r="161" hidden="1" ht="21" customHeight="1" s="30">
      <c r="A161" s="7" t="n">
        <v>159</v>
      </c>
      <c r="B161" s="36" t="n"/>
      <c r="C161" s="9">
        <f>I161/D161</f>
        <v/>
      </c>
      <c r="D161" s="34">
        <f>H161*F161</f>
        <v/>
      </c>
      <c r="E161" s="34">
        <f>G161*F161</f>
        <v/>
      </c>
      <c r="F161" s="34" t="n"/>
      <c r="G161" s="34" t="inlineStr">
        <is>
          <t>ERROR</t>
        </is>
      </c>
      <c r="H161" s="34" t="n"/>
      <c r="I161" s="34">
        <f>E161-H161*F161</f>
        <v/>
      </c>
    </row>
    <row r="162" hidden="1" ht="21" customHeight="1" s="30">
      <c r="A162" s="7" t="n">
        <v>160</v>
      </c>
      <c r="B162" s="36" t="n"/>
      <c r="C162" s="9">
        <f>I162/D162</f>
        <v/>
      </c>
      <c r="D162" s="34">
        <f>H162*F162</f>
        <v/>
      </c>
      <c r="E162" s="34">
        <f>G162*F162</f>
        <v/>
      </c>
      <c r="F162" s="34" t="n"/>
      <c r="G162" s="34" t="inlineStr">
        <is>
          <t>ERROR</t>
        </is>
      </c>
      <c r="H162" s="34" t="n"/>
      <c r="I162" s="34">
        <f>E162-H162*F162</f>
        <v/>
      </c>
    </row>
    <row r="163" hidden="1" ht="21" customHeight="1" s="30">
      <c r="A163" s="7" t="n">
        <v>161</v>
      </c>
      <c r="B163" s="36" t="n"/>
      <c r="C163" s="9">
        <f>I163/D163</f>
        <v/>
      </c>
      <c r="D163" s="34">
        <f>H163*F163</f>
        <v/>
      </c>
      <c r="E163" s="34">
        <f>G163*F163</f>
        <v/>
      </c>
      <c r="F163" s="34" t="n"/>
      <c r="G163" s="34" t="inlineStr">
        <is>
          <t>ERROR</t>
        </is>
      </c>
      <c r="H163" s="34" t="n"/>
      <c r="I163" s="34">
        <f>E163-H163*F163</f>
        <v/>
      </c>
    </row>
    <row r="164" hidden="1" ht="21" customHeight="1" s="30">
      <c r="A164" s="7" t="n">
        <v>162</v>
      </c>
      <c r="B164" s="36" t="n"/>
      <c r="C164" s="9">
        <f>I164/D164</f>
        <v/>
      </c>
      <c r="D164" s="34">
        <f>H164*F164</f>
        <v/>
      </c>
      <c r="E164" s="34">
        <f>G164*F164</f>
        <v/>
      </c>
      <c r="F164" s="34" t="n"/>
      <c r="G164" s="34" t="inlineStr">
        <is>
          <t>ERROR</t>
        </is>
      </c>
      <c r="H164" s="34" t="n"/>
      <c r="I164" s="34">
        <f>E164-H164*F164</f>
        <v/>
      </c>
    </row>
    <row r="165" hidden="1" ht="21" customHeight="1" s="30">
      <c r="A165" s="7" t="n">
        <v>163</v>
      </c>
      <c r="B165" s="36" t="n"/>
      <c r="C165" s="9">
        <f>I165/D165</f>
        <v/>
      </c>
      <c r="D165" s="34">
        <f>H165*F165</f>
        <v/>
      </c>
      <c r="E165" s="34">
        <f>G165*F165</f>
        <v/>
      </c>
      <c r="F165" s="34" t="n"/>
      <c r="G165" s="34" t="inlineStr">
        <is>
          <t>ERROR</t>
        </is>
      </c>
      <c r="H165" s="34" t="n"/>
      <c r="I165" s="34">
        <f>E165-H165*F165</f>
        <v/>
      </c>
    </row>
    <row r="166" hidden="1" ht="21" customHeight="1" s="30">
      <c r="A166" s="7" t="n">
        <v>164</v>
      </c>
      <c r="B166" s="36" t="n"/>
      <c r="C166" s="9">
        <f>I166/D166</f>
        <v/>
      </c>
      <c r="D166" s="34">
        <f>H166*F166</f>
        <v/>
      </c>
      <c r="E166" s="34">
        <f>G166*F166</f>
        <v/>
      </c>
      <c r="F166" s="34" t="n"/>
      <c r="G166" s="34" t="inlineStr">
        <is>
          <t>ERROR</t>
        </is>
      </c>
      <c r="H166" s="34" t="n"/>
      <c r="I166" s="34">
        <f>E166-H166*F166</f>
        <v/>
      </c>
    </row>
    <row r="167" hidden="1" ht="21" customHeight="1" s="30">
      <c r="A167" s="7" t="n">
        <v>165</v>
      </c>
      <c r="B167" s="36" t="n"/>
      <c r="C167" s="9">
        <f>I167/D167</f>
        <v/>
      </c>
      <c r="D167" s="34">
        <f>H167*F167</f>
        <v/>
      </c>
      <c r="E167" s="34">
        <f>G167*F167</f>
        <v/>
      </c>
      <c r="F167" s="34" t="n"/>
      <c r="G167" s="34" t="inlineStr">
        <is>
          <t>ERROR</t>
        </is>
      </c>
      <c r="H167" s="34" t="n"/>
      <c r="I167" s="34">
        <f>E167-H167*F167</f>
        <v/>
      </c>
    </row>
    <row r="168" hidden="1" ht="21" customHeight="1" s="30">
      <c r="A168" s="7" t="n">
        <v>166</v>
      </c>
      <c r="B168" s="36" t="n"/>
      <c r="C168" s="9">
        <f>I168/D168</f>
        <v/>
      </c>
      <c r="D168" s="34">
        <f>H168*F168</f>
        <v/>
      </c>
      <c r="E168" s="34">
        <f>G168*F168</f>
        <v/>
      </c>
      <c r="F168" s="34" t="n"/>
      <c r="G168" s="34" t="inlineStr">
        <is>
          <t>ERROR</t>
        </is>
      </c>
      <c r="H168" s="34" t="n"/>
      <c r="I168" s="34">
        <f>E168-H168*F168</f>
        <v/>
      </c>
    </row>
    <row r="169" hidden="1" ht="21" customHeight="1" s="30">
      <c r="A169" s="7" t="n">
        <v>167</v>
      </c>
      <c r="B169" s="36" t="n"/>
      <c r="C169" s="9">
        <f>I169/D169</f>
        <v/>
      </c>
      <c r="D169" s="34">
        <f>H169*F169</f>
        <v/>
      </c>
      <c r="E169" s="34">
        <f>G169*F169</f>
        <v/>
      </c>
      <c r="F169" s="34" t="n"/>
      <c r="G169" s="34" t="inlineStr">
        <is>
          <t>ERROR</t>
        </is>
      </c>
      <c r="H169" s="34" t="n"/>
      <c r="I169" s="34">
        <f>E169-H169*F169</f>
        <v/>
      </c>
    </row>
    <row r="170" hidden="1" ht="21" customHeight="1" s="30">
      <c r="A170" s="7" t="n">
        <v>168</v>
      </c>
      <c r="B170" s="36" t="n"/>
      <c r="C170" s="9">
        <f>I170/D170</f>
        <v/>
      </c>
      <c r="D170" s="34">
        <f>H170*F170</f>
        <v/>
      </c>
      <c r="E170" s="34">
        <f>G170*F170</f>
        <v/>
      </c>
      <c r="F170" s="34" t="n"/>
      <c r="G170" s="34" t="inlineStr">
        <is>
          <t>ERROR</t>
        </is>
      </c>
      <c r="H170" s="34" t="n"/>
      <c r="I170" s="34">
        <f>E170-H170*F170</f>
        <v/>
      </c>
    </row>
    <row r="171" hidden="1" ht="21" customHeight="1" s="30">
      <c r="A171" s="7" t="n">
        <v>169</v>
      </c>
      <c r="B171" s="36" t="n"/>
      <c r="C171" s="9">
        <f>I171/D171</f>
        <v/>
      </c>
      <c r="D171" s="34">
        <f>H171*F171</f>
        <v/>
      </c>
      <c r="E171" s="34">
        <f>G171*F171</f>
        <v/>
      </c>
      <c r="F171" s="34" t="n"/>
      <c r="G171" s="34" t="inlineStr">
        <is>
          <t>ERROR</t>
        </is>
      </c>
      <c r="H171" s="34" t="n"/>
      <c r="I171" s="34">
        <f>E171-H171*F171</f>
        <v/>
      </c>
    </row>
    <row r="172" hidden="1" ht="21" customHeight="1" s="30">
      <c r="A172" s="7" t="n">
        <v>170</v>
      </c>
      <c r="B172" s="36" t="n"/>
      <c r="C172" s="9">
        <f>I172/D172</f>
        <v/>
      </c>
      <c r="D172" s="34">
        <f>H172*F172</f>
        <v/>
      </c>
      <c r="E172" s="34">
        <f>G172*F172</f>
        <v/>
      </c>
      <c r="F172" s="34" t="n"/>
      <c r="G172" s="34" t="inlineStr">
        <is>
          <t>ERROR</t>
        </is>
      </c>
      <c r="H172" s="34" t="n"/>
      <c r="I172" s="34">
        <f>E172-H172*F172</f>
        <v/>
      </c>
    </row>
    <row r="173" hidden="1" ht="21" customHeight="1" s="30">
      <c r="A173" s="7" t="n">
        <v>171</v>
      </c>
      <c r="B173" s="36" t="n"/>
      <c r="C173" s="9">
        <f>I173/D173</f>
        <v/>
      </c>
      <c r="D173" s="34">
        <f>H173*F173</f>
        <v/>
      </c>
      <c r="E173" s="34">
        <f>G173*F173</f>
        <v/>
      </c>
      <c r="F173" s="34" t="n"/>
      <c r="G173" s="34" t="inlineStr">
        <is>
          <t>ERROR</t>
        </is>
      </c>
      <c r="H173" s="34" t="n"/>
      <c r="I173" s="34">
        <f>E173-H173*F173</f>
        <v/>
      </c>
    </row>
    <row r="174" hidden="1" ht="21" customHeight="1" s="30">
      <c r="A174" s="7" t="n">
        <v>172</v>
      </c>
      <c r="B174" s="36" t="n"/>
      <c r="C174" s="9">
        <f>I174/D174</f>
        <v/>
      </c>
      <c r="D174" s="34">
        <f>H174*F174</f>
        <v/>
      </c>
      <c r="E174" s="34">
        <f>G174*F174</f>
        <v/>
      </c>
      <c r="F174" s="34" t="n"/>
      <c r="G174" s="34" t="inlineStr">
        <is>
          <t>ERROR</t>
        </is>
      </c>
      <c r="H174" s="34" t="n"/>
      <c r="I174" s="34">
        <f>E174-H174*F174</f>
        <v/>
      </c>
    </row>
    <row r="175" hidden="1" ht="21" customHeight="1" s="30">
      <c r="A175" s="7" t="n">
        <v>173</v>
      </c>
      <c r="B175" s="36" t="n"/>
      <c r="C175" s="9">
        <f>I175/D175</f>
        <v/>
      </c>
      <c r="D175" s="34">
        <f>H175*F175</f>
        <v/>
      </c>
      <c r="E175" s="34">
        <f>G175*F175</f>
        <v/>
      </c>
      <c r="F175" s="34" t="n"/>
      <c r="G175" s="34" t="inlineStr">
        <is>
          <t>ERROR</t>
        </is>
      </c>
      <c r="H175" s="34" t="n"/>
      <c r="I175" s="34">
        <f>E175-H175*F175</f>
        <v/>
      </c>
    </row>
    <row r="176" hidden="1" ht="21" customHeight="1" s="30">
      <c r="A176" s="7" t="n">
        <v>174</v>
      </c>
      <c r="B176" s="36" t="n"/>
      <c r="C176" s="9">
        <f>I176/D176</f>
        <v/>
      </c>
      <c r="D176" s="34">
        <f>H176*F176</f>
        <v/>
      </c>
      <c r="E176" s="34">
        <f>G176*F176</f>
        <v/>
      </c>
      <c r="F176" s="34" t="n"/>
      <c r="G176" s="34" t="inlineStr">
        <is>
          <t>ERROR</t>
        </is>
      </c>
      <c r="H176" s="34" t="n"/>
      <c r="I176" s="34">
        <f>E176-H176*F176</f>
        <v/>
      </c>
    </row>
    <row r="177" hidden="1" ht="21" customHeight="1" s="30">
      <c r="A177" s="7" t="n">
        <v>175</v>
      </c>
      <c r="B177" s="36" t="n"/>
      <c r="C177" s="9">
        <f>I177/D177</f>
        <v/>
      </c>
      <c r="D177" s="34">
        <f>H177*F177</f>
        <v/>
      </c>
      <c r="E177" s="34">
        <f>G177*F177</f>
        <v/>
      </c>
      <c r="F177" s="34" t="n"/>
      <c r="G177" s="34" t="inlineStr">
        <is>
          <t>ERROR</t>
        </is>
      </c>
      <c r="H177" s="34" t="n"/>
      <c r="I177" s="34">
        <f>E177-H177*F177</f>
        <v/>
      </c>
    </row>
    <row r="178" hidden="1" ht="21" customHeight="1" s="30">
      <c r="A178" s="7" t="n">
        <v>176</v>
      </c>
      <c r="B178" s="36" t="n"/>
      <c r="C178" s="9">
        <f>I178/D178</f>
        <v/>
      </c>
      <c r="D178" s="34">
        <f>H178*F178</f>
        <v/>
      </c>
      <c r="E178" s="34">
        <f>G178*F178</f>
        <v/>
      </c>
      <c r="F178" s="34" t="n"/>
      <c r="G178" s="34" t="inlineStr">
        <is>
          <t>ERROR</t>
        </is>
      </c>
      <c r="H178" s="34" t="n"/>
      <c r="I178" s="34">
        <f>E178-H178*F178</f>
        <v/>
      </c>
    </row>
    <row r="179" hidden="1" ht="21" customHeight="1" s="30">
      <c r="A179" s="7" t="n">
        <v>177</v>
      </c>
      <c r="B179" s="36" t="n"/>
      <c r="C179" s="9">
        <f>I179/D179</f>
        <v/>
      </c>
      <c r="D179" s="34">
        <f>H179*F179</f>
        <v/>
      </c>
      <c r="E179" s="34">
        <f>G179*F179</f>
        <v/>
      </c>
      <c r="F179" s="34" t="n"/>
      <c r="G179" s="34" t="inlineStr">
        <is>
          <t>ERROR</t>
        </is>
      </c>
      <c r="H179" s="34" t="n"/>
      <c r="I179" s="34">
        <f>E179-H179*F179</f>
        <v/>
      </c>
    </row>
    <row r="180" hidden="1" ht="21" customHeight="1" s="30">
      <c r="A180" s="7" t="n">
        <v>178</v>
      </c>
      <c r="B180" s="36" t="n"/>
      <c r="C180" s="9">
        <f>I180/D180</f>
        <v/>
      </c>
      <c r="D180" s="34">
        <f>H180*F180</f>
        <v/>
      </c>
      <c r="E180" s="34">
        <f>G180*F180</f>
        <v/>
      </c>
      <c r="F180" s="34" t="n"/>
      <c r="G180" s="34" t="inlineStr">
        <is>
          <t>ERROR</t>
        </is>
      </c>
      <c r="H180" s="34" t="n"/>
      <c r="I180" s="34">
        <f>E180-H180*F180</f>
        <v/>
      </c>
    </row>
    <row r="181" hidden="1" ht="21" customHeight="1" s="30">
      <c r="A181" s="7" t="n">
        <v>179</v>
      </c>
      <c r="B181" s="36" t="n"/>
      <c r="C181" s="9">
        <f>I181/D181</f>
        <v/>
      </c>
      <c r="D181" s="34">
        <f>H181*F181</f>
        <v/>
      </c>
      <c r="E181" s="34">
        <f>G181*F181</f>
        <v/>
      </c>
      <c r="F181" s="34" t="n"/>
      <c r="G181" s="34" t="inlineStr">
        <is>
          <t>ERROR</t>
        </is>
      </c>
      <c r="H181" s="34" t="n"/>
      <c r="I181" s="34">
        <f>E181-H181*F181</f>
        <v/>
      </c>
    </row>
    <row r="182" hidden="1" ht="21" customHeight="1" s="30">
      <c r="A182" s="7" t="n">
        <v>180</v>
      </c>
      <c r="B182" s="36" t="n"/>
      <c r="C182" s="9">
        <f>I182/D182</f>
        <v/>
      </c>
      <c r="D182" s="34">
        <f>H182*F182</f>
        <v/>
      </c>
      <c r="E182" s="34">
        <f>G182*F182</f>
        <v/>
      </c>
      <c r="F182" s="34" t="n"/>
      <c r="G182" s="34" t="inlineStr">
        <is>
          <t>ERROR</t>
        </is>
      </c>
      <c r="H182" s="34" t="n"/>
      <c r="I182" s="34">
        <f>E182-H182*F182</f>
        <v/>
      </c>
    </row>
    <row r="183" hidden="1" ht="21" customHeight="1" s="30">
      <c r="A183" s="7" t="n">
        <v>181</v>
      </c>
      <c r="B183" s="36" t="n"/>
      <c r="C183" s="9">
        <f>I183/D183</f>
        <v/>
      </c>
      <c r="D183" s="34">
        <f>H183*F183</f>
        <v/>
      </c>
      <c r="E183" s="34">
        <f>G183*F183</f>
        <v/>
      </c>
      <c r="F183" s="34" t="n"/>
      <c r="G183" s="34" t="inlineStr">
        <is>
          <t>ERROR</t>
        </is>
      </c>
      <c r="H183" s="34" t="n"/>
      <c r="I183" s="34">
        <f>E183-H183*F183</f>
        <v/>
      </c>
    </row>
    <row r="184" hidden="1" ht="21" customHeight="1" s="30">
      <c r="A184" s="7" t="n">
        <v>182</v>
      </c>
      <c r="B184" s="36" t="n"/>
      <c r="C184" s="9">
        <f>I184/D184</f>
        <v/>
      </c>
      <c r="D184" s="34">
        <f>H184*F184</f>
        <v/>
      </c>
      <c r="E184" s="34">
        <f>G184*F184</f>
        <v/>
      </c>
      <c r="F184" s="34" t="n"/>
      <c r="G184" s="34" t="inlineStr">
        <is>
          <t>ERROR</t>
        </is>
      </c>
      <c r="H184" s="34" t="n"/>
      <c r="I184" s="34">
        <f>E184-H184*F184</f>
        <v/>
      </c>
    </row>
    <row r="185" hidden="1" ht="21" customHeight="1" s="30">
      <c r="A185" s="7" t="n">
        <v>183</v>
      </c>
      <c r="B185" s="36" t="n"/>
      <c r="C185" s="9">
        <f>I185/D185</f>
        <v/>
      </c>
      <c r="D185" s="34">
        <f>H185*F185</f>
        <v/>
      </c>
      <c r="E185" s="34">
        <f>G185*F185</f>
        <v/>
      </c>
      <c r="F185" s="34" t="n"/>
      <c r="G185" s="34" t="inlineStr">
        <is>
          <t>ERROR</t>
        </is>
      </c>
      <c r="H185" s="34" t="n"/>
      <c r="I185" s="34">
        <f>E185-H185*F185</f>
        <v/>
      </c>
    </row>
    <row r="186" hidden="1" ht="21" customHeight="1" s="30">
      <c r="A186" s="7" t="n">
        <v>184</v>
      </c>
      <c r="B186" s="36" t="n"/>
      <c r="C186" s="9">
        <f>I186/D186</f>
        <v/>
      </c>
      <c r="D186" s="34">
        <f>H186*F186</f>
        <v/>
      </c>
      <c r="E186" s="34">
        <f>G186*F186</f>
        <v/>
      </c>
      <c r="F186" s="34" t="n"/>
      <c r="G186" s="34" t="inlineStr">
        <is>
          <t>ERROR</t>
        </is>
      </c>
      <c r="H186" s="34" t="n"/>
      <c r="I186" s="34">
        <f>E186-H186*F186</f>
        <v/>
      </c>
    </row>
    <row r="187" hidden="1" ht="21" customHeight="1" s="30">
      <c r="A187" s="7" t="n">
        <v>185</v>
      </c>
      <c r="B187" s="36" t="n"/>
      <c r="C187" s="9">
        <f>I187/D187</f>
        <v/>
      </c>
      <c r="D187" s="34">
        <f>H187*F187</f>
        <v/>
      </c>
      <c r="E187" s="34">
        <f>G187*F187</f>
        <v/>
      </c>
      <c r="F187" s="34" t="n"/>
      <c r="G187" s="34" t="inlineStr">
        <is>
          <t>ERROR</t>
        </is>
      </c>
      <c r="H187" s="34" t="n"/>
      <c r="I187" s="34">
        <f>E187-H187*F187</f>
        <v/>
      </c>
    </row>
    <row r="188" hidden="1" ht="21" customHeight="1" s="30">
      <c r="A188" s="7" t="n">
        <v>186</v>
      </c>
      <c r="B188" s="36" t="n"/>
      <c r="C188" s="9">
        <f>I188/D188</f>
        <v/>
      </c>
      <c r="D188" s="34">
        <f>H188*F188</f>
        <v/>
      </c>
      <c r="E188" s="34">
        <f>G188*F188</f>
        <v/>
      </c>
      <c r="F188" s="34" t="n"/>
      <c r="G188" s="34" t="inlineStr">
        <is>
          <t>ERROR</t>
        </is>
      </c>
      <c r="H188" s="34" t="n"/>
      <c r="I188" s="34">
        <f>E188-H188*F188</f>
        <v/>
      </c>
    </row>
    <row r="189" hidden="1" ht="21" customHeight="1" s="30">
      <c r="A189" s="7" t="n">
        <v>187</v>
      </c>
      <c r="B189" s="36" t="n"/>
      <c r="C189" s="9">
        <f>I189/D189</f>
        <v/>
      </c>
      <c r="D189" s="34">
        <f>H189*F189</f>
        <v/>
      </c>
      <c r="E189" s="34">
        <f>G189*F189</f>
        <v/>
      </c>
      <c r="F189" s="34" t="n"/>
      <c r="G189" s="34" t="inlineStr">
        <is>
          <t>ERROR</t>
        </is>
      </c>
      <c r="H189" s="34" t="n"/>
      <c r="I189" s="34">
        <f>E189-H189*F189</f>
        <v/>
      </c>
    </row>
    <row r="190" hidden="1" ht="21" customHeight="1" s="30">
      <c r="A190" s="7" t="n">
        <v>188</v>
      </c>
      <c r="B190" s="36" t="n"/>
      <c r="C190" s="9">
        <f>I190/D190</f>
        <v/>
      </c>
      <c r="D190" s="34">
        <f>H190*F190</f>
        <v/>
      </c>
      <c r="E190" s="34">
        <f>G190*F190</f>
        <v/>
      </c>
      <c r="F190" s="34" t="n"/>
      <c r="G190" s="34" t="inlineStr">
        <is>
          <t>ERROR</t>
        </is>
      </c>
      <c r="H190" s="34" t="n"/>
      <c r="I190" s="34">
        <f>E190-H190*F190</f>
        <v/>
      </c>
    </row>
    <row r="191" hidden="1" ht="21" customHeight="1" s="30">
      <c r="A191" s="7" t="n">
        <v>189</v>
      </c>
      <c r="B191" s="36" t="n"/>
      <c r="C191" s="9">
        <f>I191/D191</f>
        <v/>
      </c>
      <c r="D191" s="34">
        <f>H191*F191</f>
        <v/>
      </c>
      <c r="E191" s="34">
        <f>G191*F191</f>
        <v/>
      </c>
      <c r="F191" s="34" t="n"/>
      <c r="G191" s="34" t="inlineStr">
        <is>
          <t>ERROR</t>
        </is>
      </c>
      <c r="H191" s="34" t="n"/>
      <c r="I191" s="34">
        <f>E191-H191*F191</f>
        <v/>
      </c>
    </row>
    <row r="192" hidden="1" ht="21" customHeight="1" s="30">
      <c r="A192" s="7" t="n">
        <v>190</v>
      </c>
      <c r="B192" s="36" t="n"/>
      <c r="C192" s="9">
        <f>I192/D192</f>
        <v/>
      </c>
      <c r="D192" s="34">
        <f>H192*F192</f>
        <v/>
      </c>
      <c r="E192" s="34">
        <f>G192*F192</f>
        <v/>
      </c>
      <c r="F192" s="34" t="n"/>
      <c r="G192" s="34" t="inlineStr">
        <is>
          <t>ERROR</t>
        </is>
      </c>
      <c r="H192" s="34" t="n"/>
      <c r="I192" s="34">
        <f>E192-H192*F192</f>
        <v/>
      </c>
    </row>
    <row r="193" hidden="1" ht="21" customHeight="1" s="30">
      <c r="A193" s="7" t="n">
        <v>191</v>
      </c>
      <c r="B193" s="36" t="n"/>
      <c r="C193" s="9">
        <f>I193/D193</f>
        <v/>
      </c>
      <c r="D193" s="34">
        <f>H193*F193</f>
        <v/>
      </c>
      <c r="E193" s="34">
        <f>G193*F193</f>
        <v/>
      </c>
      <c r="F193" s="34" t="n"/>
      <c r="G193" s="34" t="inlineStr">
        <is>
          <t>ERROR</t>
        </is>
      </c>
      <c r="H193" s="34" t="n"/>
      <c r="I193" s="34">
        <f>E193-H193*F193</f>
        <v/>
      </c>
    </row>
    <row r="194" hidden="1" ht="21" customHeight="1" s="30">
      <c r="A194" s="7" t="n">
        <v>192</v>
      </c>
      <c r="B194" s="36" t="n"/>
      <c r="C194" s="9">
        <f>I194/D194</f>
        <v/>
      </c>
      <c r="D194" s="34">
        <f>H194*F194</f>
        <v/>
      </c>
      <c r="E194" s="34">
        <f>G194*F194</f>
        <v/>
      </c>
      <c r="F194" s="34" t="n"/>
      <c r="G194" s="34" t="inlineStr">
        <is>
          <t>ERROR</t>
        </is>
      </c>
      <c r="H194" s="34" t="n"/>
      <c r="I194" s="34">
        <f>E194-H194*F194</f>
        <v/>
      </c>
    </row>
    <row r="195" hidden="1" ht="21" customHeight="1" s="30">
      <c r="A195" s="7" t="n">
        <v>193</v>
      </c>
      <c r="B195" s="36" t="n"/>
      <c r="C195" s="9">
        <f>I195/D195</f>
        <v/>
      </c>
      <c r="D195" s="34">
        <f>H195*F195</f>
        <v/>
      </c>
      <c r="E195" s="34">
        <f>G195*F195</f>
        <v/>
      </c>
      <c r="F195" s="34" t="n"/>
      <c r="G195" s="34" t="inlineStr">
        <is>
          <t>ERROR</t>
        </is>
      </c>
      <c r="H195" s="34" t="n"/>
      <c r="I195" s="34">
        <f>E195-H195*F195</f>
        <v/>
      </c>
    </row>
    <row r="196" hidden="1" ht="21" customHeight="1" s="30">
      <c r="A196" s="7" t="n">
        <v>194</v>
      </c>
      <c r="B196" s="36" t="n"/>
      <c r="C196" s="9">
        <f>I196/D196</f>
        <v/>
      </c>
      <c r="D196" s="34">
        <f>H196*F196</f>
        <v/>
      </c>
      <c r="E196" s="34">
        <f>G196*F196</f>
        <v/>
      </c>
      <c r="F196" s="34" t="n"/>
      <c r="G196" s="34" t="inlineStr">
        <is>
          <t>ERROR</t>
        </is>
      </c>
      <c r="H196" s="34" t="n"/>
      <c r="I196" s="34">
        <f>E196-H196*F196</f>
        <v/>
      </c>
    </row>
    <row r="197" hidden="1" ht="21" customHeight="1" s="30">
      <c r="A197" s="7" t="n">
        <v>195</v>
      </c>
      <c r="B197" s="36" t="n"/>
      <c r="C197" s="9">
        <f>I197/D197</f>
        <v/>
      </c>
      <c r="D197" s="34">
        <f>H197*F197</f>
        <v/>
      </c>
      <c r="E197" s="34">
        <f>G197*F197</f>
        <v/>
      </c>
      <c r="F197" s="34" t="n"/>
      <c r="G197" s="34" t="inlineStr">
        <is>
          <t>ERROR</t>
        </is>
      </c>
      <c r="H197" s="34" t="n"/>
      <c r="I197" s="34">
        <f>E197-H197*F197</f>
        <v/>
      </c>
    </row>
    <row r="198" hidden="1" ht="21" customHeight="1" s="30">
      <c r="A198" s="7" t="n">
        <v>196</v>
      </c>
      <c r="B198" s="36" t="n"/>
      <c r="C198" s="9">
        <f>I198/D198</f>
        <v/>
      </c>
      <c r="D198" s="34">
        <f>H198*F198</f>
        <v/>
      </c>
      <c r="E198" s="34">
        <f>G198*F198</f>
        <v/>
      </c>
      <c r="F198" s="34" t="n"/>
      <c r="G198" s="34" t="inlineStr">
        <is>
          <t>ERROR</t>
        </is>
      </c>
      <c r="H198" s="34" t="n"/>
      <c r="I198" s="34">
        <f>E198-H198*F198</f>
        <v/>
      </c>
    </row>
    <row r="199" hidden="1" ht="21" customHeight="1" s="30">
      <c r="A199" s="7" t="n">
        <v>197</v>
      </c>
      <c r="B199" s="36" t="n"/>
      <c r="C199" s="9">
        <f>I199/D199</f>
        <v/>
      </c>
      <c r="D199" s="34">
        <f>H199*F199</f>
        <v/>
      </c>
      <c r="E199" s="34">
        <f>G199*F199</f>
        <v/>
      </c>
      <c r="F199" s="34" t="n"/>
      <c r="G199" s="34" t="inlineStr">
        <is>
          <t>ERROR</t>
        </is>
      </c>
      <c r="H199" s="34" t="n"/>
      <c r="I199" s="34">
        <f>E199-H199*F199</f>
        <v/>
      </c>
    </row>
    <row r="200" hidden="1" ht="21" customHeight="1" s="30">
      <c r="A200" s="7" t="n">
        <v>198</v>
      </c>
      <c r="B200" s="36" t="n"/>
      <c r="C200" s="9">
        <f>I200/D200</f>
        <v/>
      </c>
      <c r="D200" s="34">
        <f>H200*F200</f>
        <v/>
      </c>
      <c r="E200" s="34">
        <f>G200*F200</f>
        <v/>
      </c>
      <c r="F200" s="34" t="n"/>
      <c r="G200" s="34" t="inlineStr">
        <is>
          <t>ERROR</t>
        </is>
      </c>
      <c r="H200" s="34" t="n"/>
      <c r="I200" s="34">
        <f>E200-H200*F200</f>
        <v/>
      </c>
    </row>
    <row r="201" hidden="1" ht="21" customHeight="1" s="30">
      <c r="A201" s="7" t="n">
        <v>199</v>
      </c>
      <c r="B201" s="36" t="n"/>
      <c r="C201" s="9">
        <f>I201/D201</f>
        <v/>
      </c>
      <c r="D201" s="34">
        <f>H201*F201</f>
        <v/>
      </c>
      <c r="E201" s="34">
        <f>G201*F201</f>
        <v/>
      </c>
      <c r="F201" s="34" t="n"/>
      <c r="G201" s="34" t="inlineStr">
        <is>
          <t>ERROR</t>
        </is>
      </c>
      <c r="H201" s="34" t="n"/>
      <c r="I201" s="34">
        <f>E201-H201*F201</f>
        <v/>
      </c>
    </row>
    <row r="202" hidden="1" ht="21" customHeight="1" s="30">
      <c r="A202" s="7" t="n">
        <v>200</v>
      </c>
      <c r="B202" s="36" t="n"/>
      <c r="C202" s="9">
        <f>I202/D202</f>
        <v/>
      </c>
      <c r="D202" s="34">
        <f>H202*F202</f>
        <v/>
      </c>
      <c r="E202" s="34">
        <f>G202*F202</f>
        <v/>
      </c>
      <c r="F202" s="34" t="n"/>
      <c r="G202" s="34" t="inlineStr">
        <is>
          <t>ERROR</t>
        </is>
      </c>
      <c r="H202" s="34" t="n"/>
      <c r="I202" s="34">
        <f>E202-H202*F202</f>
        <v/>
      </c>
    </row>
    <row r="203" ht="21" customHeight="1" s="30">
      <c r="A203" s="36" t="inlineStr">
        <is>
          <t>合计</t>
        </is>
      </c>
      <c r="B203" s="37" t="n"/>
      <c r="C203" s="9">
        <f>I203/D203</f>
        <v/>
      </c>
      <c r="D203" s="34">
        <f>SUBTOTAL(9,D3:D202)</f>
        <v/>
      </c>
      <c r="E203" s="34">
        <f>SUM(E3:E202)</f>
        <v/>
      </c>
      <c r="F203" s="38">
        <f>SUM(F3:F202)</f>
        <v/>
      </c>
      <c r="G203" s="39" t="inlineStr">
        <is>
          <t>ERROR</t>
        </is>
      </c>
      <c r="H203" s="39" t="n"/>
      <c r="I203" s="34">
        <f>SUM(I3:I202)</f>
        <v/>
      </c>
    </row>
    <row r="204" hidden="1" s="30">
      <c r="I204" s="29" t="n">
        <v>-152224.731250001</v>
      </c>
    </row>
    <row r="205" hidden="1" s="30">
      <c r="I205" s="29">
        <f>I203-I204</f>
        <v/>
      </c>
    </row>
    <row r="206" hidden="1" s="30">
      <c r="I206" s="22" t="n">
        <v>26203.1297500003</v>
      </c>
    </row>
    <row r="207" hidden="1" s="30">
      <c r="I207" s="22">
        <f>I203-I206</f>
        <v/>
      </c>
    </row>
    <row r="208" hidden="1" s="30">
      <c r="I208" s="22" t="n">
        <v>43812.4097500002</v>
      </c>
    </row>
    <row r="209" hidden="1" s="30">
      <c r="I209" s="22">
        <f>I203-I208</f>
        <v/>
      </c>
    </row>
    <row r="210" hidden="1" s="30">
      <c r="G210" s="29" t="n">
        <v>256405</v>
      </c>
      <c r="H210" s="29" t="n">
        <v>4948</v>
      </c>
    </row>
    <row r="211" hidden="1" s="30">
      <c r="G211" s="29" t="n">
        <v>-58386</v>
      </c>
      <c r="H211" s="29" t="n">
        <v>-1000</v>
      </c>
    </row>
    <row r="212" hidden="1" s="30">
      <c r="G212" s="29">
        <f>SUBTOTAL(9,G210:G211)</f>
        <v/>
      </c>
      <c r="H212" s="29">
        <f>SUBTOTAL(9,H210:H211)</f>
        <v/>
      </c>
      <c r="I212" s="22">
        <f>G212/H212</f>
        <v/>
      </c>
    </row>
    <row r="213" hidden="1" s="30"/>
    <row r="214" hidden="1" s="30">
      <c r="I214" s="22" t="n">
        <v>43812.41</v>
      </c>
    </row>
    <row r="215" hidden="1" s="30">
      <c r="G215" s="29" t="n">
        <v>138.034731428571</v>
      </c>
      <c r="H215" s="29" t="n">
        <v>700</v>
      </c>
      <c r="I215" s="22">
        <f>I203-I214</f>
        <v/>
      </c>
    </row>
    <row r="216" hidden="1" s="30">
      <c r="G216" s="29" t="n">
        <v>47.4190332428765</v>
      </c>
      <c r="H216" s="29" t="n">
        <v>2948</v>
      </c>
    </row>
    <row r="217" hidden="1" s="30">
      <c r="G217" s="29" t="n">
        <v>120.924970625</v>
      </c>
      <c r="H217" s="29" t="n">
        <v>2400</v>
      </c>
    </row>
    <row r="218" hidden="1" s="30">
      <c r="G218" s="29" t="n">
        <v>85.5758575</v>
      </c>
      <c r="H218" s="29" t="n">
        <v>1300</v>
      </c>
    </row>
    <row r="219" hidden="1" s="30">
      <c r="I219" s="22" t="n">
        <v>50854.85</v>
      </c>
    </row>
    <row r="220" hidden="1" s="30">
      <c r="I220" s="22">
        <f>I203-I219</f>
        <v/>
      </c>
    </row>
    <row r="221" hidden="1" s="30">
      <c r="I221" s="22" t="n">
        <v>-49297.78</v>
      </c>
    </row>
    <row r="222" hidden="1" s="30">
      <c r="I222" s="22">
        <f>I203-I221</f>
        <v/>
      </c>
    </row>
    <row r="223" hidden="1" s="30"/>
    <row r="224" hidden="1" s="30">
      <c r="G224" s="29" t="n">
        <v>120.5570125</v>
      </c>
      <c r="H224" s="29" t="n">
        <v>2400</v>
      </c>
    </row>
    <row r="225" hidden="1" s="30"/>
    <row r="226" hidden="1" s="30"/>
    <row r="227" hidden="1" s="30">
      <c r="G227" s="29" t="n">
        <v>35.3134305487805</v>
      </c>
      <c r="H227" s="29" t="n">
        <v>8200</v>
      </c>
    </row>
    <row r="228" hidden="1" s="30">
      <c r="G228" s="29" t="n">
        <v>84.6886419230769</v>
      </c>
      <c r="H228" s="29" t="n">
        <v>1300</v>
      </c>
    </row>
    <row r="229" hidden="1" s="30"/>
    <row r="230" hidden="1" s="30"/>
    <row r="231" hidden="1" s="30"/>
    <row r="232" hidden="1" s="30"/>
    <row r="233" hidden="1" s="30">
      <c r="I233" s="22" t="n">
        <v>165393.87465</v>
      </c>
    </row>
    <row r="234" hidden="1" s="30">
      <c r="I234" s="22">
        <f>I203-I233</f>
        <v/>
      </c>
    </row>
    <row r="235" hidden="1" s="30"/>
    <row r="236" hidden="1" s="30">
      <c r="G236" s="29" t="n">
        <v>72.8938942682927</v>
      </c>
      <c r="H236" s="29" t="n">
        <v>4100</v>
      </c>
    </row>
    <row r="237" hidden="1" s="30">
      <c r="G237" s="29" t="n">
        <v>22.2994150842697</v>
      </c>
      <c r="H237" s="29" t="n">
        <v>8900</v>
      </c>
    </row>
    <row r="238" hidden="1" s="30">
      <c r="G238" s="29" t="n">
        <v>33.2726293103448</v>
      </c>
      <c r="H238" s="29" t="n">
        <v>2900</v>
      </c>
    </row>
    <row r="239" hidden="1" s="30">
      <c r="G239" s="29" t="n">
        <v>127.376997391304</v>
      </c>
      <c r="H239" s="29" t="n">
        <v>2300</v>
      </c>
    </row>
    <row r="240" hidden="1" s="30">
      <c r="G240" s="29" t="n">
        <v>120.465219166667</v>
      </c>
      <c r="H240" s="29" t="n">
        <v>2400</v>
      </c>
    </row>
    <row r="241" hidden="1" s="30">
      <c r="G241" s="29" t="n">
        <v>27.6471131578947</v>
      </c>
      <c r="H241" s="29" t="n">
        <v>13300</v>
      </c>
    </row>
    <row r="242" hidden="1" s="30">
      <c r="I242" s="22" t="n">
        <v>156588.99465</v>
      </c>
    </row>
    <row r="243" hidden="1" s="30">
      <c r="I243" s="22">
        <f>I203-I242</f>
        <v/>
      </c>
    </row>
    <row r="244" hidden="1" s="30">
      <c r="H244" s="29" t="n">
        <v>27.4879625</v>
      </c>
      <c r="I244" s="22" t="n">
        <v>3400</v>
      </c>
    </row>
    <row r="245" hidden="1" s="30">
      <c r="H245" s="29" t="n">
        <v>124.291113157895</v>
      </c>
      <c r="I245" s="22" t="n">
        <v>1900</v>
      </c>
    </row>
    <row r="246" hidden="1" s="30">
      <c r="I246" s="22" t="n">
        <v>389850.39465</v>
      </c>
    </row>
    <row r="247" hidden="1" s="30">
      <c r="I247" s="22">
        <f>I203-I246</f>
        <v/>
      </c>
    </row>
    <row r="248" hidden="1" s="30"/>
    <row r="249" hidden="1" s="30">
      <c r="I249" s="22" t="n">
        <v>389850.39</v>
      </c>
    </row>
    <row r="250" hidden="1" s="30">
      <c r="H250" s="22" t="n"/>
      <c r="I250" s="22">
        <f>I203-I249</f>
        <v/>
      </c>
    </row>
    <row r="251" hidden="1" s="30">
      <c r="H251" s="22" t="n">
        <v>22.13778</v>
      </c>
      <c r="I251" s="22" t="n">
        <v>8900</v>
      </c>
    </row>
    <row r="252" hidden="1" s="30">
      <c r="H252" s="29" t="n">
        <v>47.4582510176391</v>
      </c>
      <c r="I252" s="22" t="n">
        <v>2948</v>
      </c>
    </row>
    <row r="253" hidden="1" s="30">
      <c r="H253" s="29" t="n">
        <v>120.512895789474</v>
      </c>
      <c r="I253" s="22" t="n">
        <v>1900</v>
      </c>
    </row>
    <row r="254" hidden="1" s="30">
      <c r="H254" s="29" t="n">
        <v>29.5882108474576</v>
      </c>
      <c r="I254" s="22" t="n">
        <v>11800</v>
      </c>
    </row>
    <row r="255" hidden="1" s="30">
      <c r="H255" s="29" t="n">
        <v>28.2669094827586</v>
      </c>
      <c r="I255" s="22" t="n">
        <v>17400</v>
      </c>
    </row>
    <row r="256" hidden="1" s="30">
      <c r="H256" s="29" t="n">
        <v>81.51186477272729</v>
      </c>
      <c r="I256" s="22" t="n">
        <v>8800</v>
      </c>
    </row>
    <row r="257" hidden="1" s="30">
      <c r="H257" s="29">
        <f>I203-I257</f>
        <v/>
      </c>
      <c r="I257" s="22" t="n">
        <v>358356</v>
      </c>
    </row>
    <row r="258" hidden="1" s="30">
      <c r="I258" s="22" t="n">
        <v>423089.19465</v>
      </c>
    </row>
    <row r="259" hidden="1" s="30">
      <c r="I259" s="22">
        <f>I203-I258</f>
        <v/>
      </c>
    </row>
    <row r="260" hidden="1" s="30">
      <c r="I260" s="22" t="n">
        <v>423089</v>
      </c>
    </row>
    <row r="261" hidden="1" s="30">
      <c r="I261" s="22">
        <f>I203-I260</f>
        <v/>
      </c>
    </row>
    <row r="262" hidden="1" s="30"/>
    <row r="263" hidden="1" s="30"/>
    <row r="264" hidden="1" s="30">
      <c r="I264" s="22" t="n">
        <v>605214.49465</v>
      </c>
    </row>
    <row r="265" hidden="1" s="30">
      <c r="I265" s="22">
        <f>I203-I264</f>
        <v/>
      </c>
    </row>
    <row r="266" hidden="1" s="30"/>
    <row r="267" hidden="1" s="30">
      <c r="G267" s="29" t="n">
        <v>59.9906969444444</v>
      </c>
      <c r="H267" s="29" t="n">
        <v>5400</v>
      </c>
    </row>
    <row r="268" hidden="1" s="30">
      <c r="G268" s="29" t="n">
        <v>101.612656410256</v>
      </c>
      <c r="H268" s="29" t="n">
        <v>3900</v>
      </c>
    </row>
    <row r="269" hidden="1" s="30">
      <c r="G269" s="29" t="n">
        <v>29.5101168134715</v>
      </c>
      <c r="H269" s="29" t="n">
        <v>19300</v>
      </c>
    </row>
    <row r="270" hidden="1" s="30">
      <c r="G270" s="29" t="n">
        <v>123.312142105263</v>
      </c>
      <c r="H270" s="29" t="n">
        <v>5700</v>
      </c>
    </row>
    <row r="271" hidden="1" s="30"/>
    <row r="272">
      <c r="I272" s="22" t="n">
        <v>414891.27465</v>
      </c>
    </row>
    <row r="273">
      <c r="I273" s="22">
        <f>I203-I272</f>
        <v/>
      </c>
    </row>
    <row r="275">
      <c r="G275" s="29" t="n">
        <v>76.4677936029412</v>
      </c>
      <c r="H275" s="29" t="n">
        <v>6800</v>
      </c>
    </row>
    <row r="276">
      <c r="D276" s="29" t="n">
        <v>60.7</v>
      </c>
      <c r="E276" s="29" t="n">
        <v>3600</v>
      </c>
      <c r="F276" s="29">
        <f>D276*E276</f>
        <v/>
      </c>
      <c r="G276" s="29" t="n">
        <v>71.02741818181821</v>
      </c>
      <c r="H276" s="29" t="n">
        <v>5500</v>
      </c>
    </row>
    <row r="277">
      <c r="D277" s="29">
        <f>F277/E277</f>
        <v/>
      </c>
      <c r="E277" s="29">
        <f>F7-E276</f>
        <v/>
      </c>
      <c r="F277" s="29">
        <f>D7-F276</f>
        <v/>
      </c>
      <c r="G277" s="29" t="n">
        <v>124.245884222222</v>
      </c>
      <c r="H277" s="29" t="n">
        <v>8100</v>
      </c>
    </row>
  </sheetData>
  <autoFilter ref="A2:I273">
    <filterColumn colId="5" hiddenButton="0" showButton="1">
      <filters>
        <filter val="1,000.00"/>
        <filter val="19,300.00"/>
        <filter val="1,300.00"/>
        <filter val="7,300.00"/>
        <filter val="5,400.00"/>
        <filter val="3,500.00"/>
        <filter val="2,500.00"/>
        <filter val="6,548.00"/>
        <filter val="3,600.00"/>
        <filter val="5,700.00"/>
        <filter val="13,800.00"/>
        <filter val="73,848.00"/>
        <filter val="3,900.00"/>
      </filters>
    </filterColumn>
  </autoFilter>
  <mergeCells count="2">
    <mergeCell ref="A1:I1"/>
    <mergeCell ref="A203:B203"/>
  </mergeCells>
  <conditionalFormatting sqref="L3">
    <cfRule type="cellIs" priority="2" operator="lessThan" dxfId="0">
      <formula>0</formula>
    </cfRule>
  </conditionalFormatting>
  <conditionalFormatting sqref="M3">
    <cfRule type="cellIs" priority="3" operator="equal" dxfId="0">
      <formula>"融资余额不足"</formula>
    </cfRule>
  </conditionalFormatting>
  <conditionalFormatting sqref="B2:B202 B204:C1048576 D204:D264 D266:D1048576 E204:F1048576 G204:G249 G252:G1048576">
    <cfRule type="duplicateValues" priority="1" dxfId="0"/>
  </conditionalFormatting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 autoPageBreaks="0"/>
  </sheetPr>
  <dimension ref="A1:N201"/>
  <sheetViews>
    <sheetView workbookViewId="0">
      <pane ySplit="1" topLeftCell="A2" activePane="bottomLeft" state="frozen"/>
      <selection activeCell="A1" sqref="A1"/>
      <selection pane="bottomLeft" activeCell="L29" sqref="L29"/>
    </sheetView>
  </sheetViews>
  <sheetFormatPr baseColWidth="8" defaultColWidth="9" defaultRowHeight="15" outlineLevelCol="0"/>
  <cols>
    <col width="4.75238095238095" customWidth="1" style="22" min="1" max="1"/>
    <col width="8.87619047619048" customWidth="1" style="22" min="2" max="2"/>
    <col width="8.87619047619048" customWidth="1" style="29" min="3" max="3"/>
    <col width="8.87619047619048" customWidth="1" style="22" min="4" max="4"/>
    <col width="8.87619047619048" customWidth="1" style="29" min="5" max="5"/>
    <col width="11.5047619047619" customWidth="1" style="29" min="6" max="6"/>
    <col width="10.247619047619" customWidth="1" style="22" min="7" max="7"/>
    <col width="23.3714285714286" customWidth="1" style="29" min="8" max="8"/>
    <col width="8.87619047619048" customWidth="1" style="22" min="9" max="9"/>
    <col width="11.3714285714286" customWidth="1" style="30" min="10" max="10"/>
    <col width="13.752380952381" customWidth="1" style="30" min="11" max="11"/>
    <col width="13.752380952381" customWidth="1" style="22" min="12" max="12"/>
    <col width="12.6285714285714" customWidth="1" style="30" min="13" max="13"/>
  </cols>
  <sheetData>
    <row r="1" ht="27" customHeight="1" s="30">
      <c r="A1" s="23" t="inlineStr">
        <is>
          <t>交易单号</t>
        </is>
      </c>
      <c r="B1" s="23" t="inlineStr">
        <is>
          <t>股票名称</t>
        </is>
      </c>
      <c r="C1" s="40" t="inlineStr">
        <is>
          <t>成交价格</t>
        </is>
      </c>
      <c r="D1" s="23" t="inlineStr">
        <is>
          <t>成交股数</t>
        </is>
      </c>
      <c r="E1" s="40" t="inlineStr">
        <is>
          <t>手续费</t>
        </is>
      </c>
      <c r="F1" s="40" t="inlineStr">
        <is>
          <t>交易收支</t>
        </is>
      </c>
      <c r="G1" s="23" t="inlineStr">
        <is>
          <t>当前持仓股数</t>
        </is>
      </c>
      <c r="H1" s="32" t="inlineStr">
        <is>
          <t>交易许可</t>
        </is>
      </c>
      <c r="I1" s="25" t="n"/>
      <c r="J1" s="26" t="inlineStr">
        <is>
          <t>交易日期</t>
        </is>
      </c>
      <c r="K1" s="27">
        <f>TODAY()</f>
        <v/>
      </c>
      <c r="L1" s="25" t="n"/>
    </row>
    <row r="2">
      <c r="A2" s="19" t="n">
        <v>1</v>
      </c>
      <c r="B2" s="19" t="n"/>
      <c r="C2" s="35" t="n"/>
      <c r="D2" s="19" t="n"/>
      <c r="E2" s="35">
        <f>IF(B2="","",IF(D2&lt;=0,-C2*D2*2.5/10000,C2*D2*12.5/10000))</f>
        <v/>
      </c>
      <c r="F2" s="35">
        <f>IF(B2="","",C2*D2-E2)</f>
        <v/>
      </c>
      <c r="G2" s="19">
        <f>IF(B2="","",IF(COUNTIF(盘中持仓!B:B,B2),VLOOKUP(B2,盘中持仓!B:D,3,0),0))</f>
        <v/>
      </c>
      <c r="H2" s="35">
        <f>IF(B2="","",IF(G2&lt;&gt;0,IF(G2&gt;0,"","交易超限"),"该股票未持仓，仅可买入"))</f>
        <v/>
      </c>
      <c r="J2" s="0" t="inlineStr">
        <is>
          <t>股票名称</t>
        </is>
      </c>
      <c r="K2" s="0" t="inlineStr">
        <is>
          <t>总卖出股数</t>
        </is>
      </c>
      <c r="L2" s="0" t="inlineStr">
        <is>
          <t>总盈亏</t>
        </is>
      </c>
    </row>
    <row r="3">
      <c r="A3" s="19" t="n">
        <v>2</v>
      </c>
      <c r="B3" s="19" t="n"/>
      <c r="C3" s="35" t="n"/>
      <c r="D3" s="19" t="n"/>
      <c r="E3" s="35">
        <f>IF(B3="","",IF(D3&lt;=0,-C3*D3*2.5/10000,C3*D3*12.5/10000))</f>
        <v/>
      </c>
      <c r="F3" s="35">
        <f>IF(B3="","",C3*D3-E3)</f>
        <v/>
      </c>
      <c r="G3" s="19">
        <f>IF(B3="","",IF(COUNTIF(盘中持仓!B:B,B3),VLOOKUP(B3,盘中持仓!B:D,3,0),0))</f>
        <v/>
      </c>
      <c r="H3" s="35">
        <f>IF(B3="","",IF(G3&lt;&gt;0,IF(G3&gt;0,"","交易超限"),"该股票未持仓，仅可买入"))</f>
        <v/>
      </c>
      <c r="J3" s="0" t="inlineStr">
        <is>
          <t>联创光电</t>
        </is>
      </c>
      <c r="K3" s="0" t="n">
        <v>-1500</v>
      </c>
      <c r="L3" s="0" t="n">
        <v>-108319.573125</v>
      </c>
    </row>
    <row r="4">
      <c r="A4" s="19" t="n">
        <v>3</v>
      </c>
      <c r="B4" s="19" t="n"/>
      <c r="C4" s="35" t="n"/>
      <c r="D4" s="19" t="n"/>
      <c r="E4" s="35">
        <f>IF(B4="","",IF(D4&lt;=0,-C4*D4*2.5/10000,C4*D4*12.5/10000))</f>
        <v/>
      </c>
      <c r="F4" s="35">
        <f>IF(B4="","",C4*D4-E4)</f>
        <v/>
      </c>
      <c r="G4" s="19">
        <f>IF(B4="","",IF(COUNTIF(盘中持仓!B:B,B4),VLOOKUP(B4,盘中持仓!B:D,3,0),0))</f>
        <v/>
      </c>
      <c r="H4" s="35">
        <f>IF(B4="","",IF(G4&lt;&gt;0,IF(G4&gt;0,"","交易超限"),"该股票未持仓，仅可买入"))</f>
        <v/>
      </c>
      <c r="J4" s="0" t="inlineStr">
        <is>
          <t>山东黄金</t>
        </is>
      </c>
      <c r="K4" s="0" t="n">
        <v>2900</v>
      </c>
      <c r="L4" s="0" t="n">
        <v>124040.15575</v>
      </c>
    </row>
    <row r="5">
      <c r="A5" s="19" t="n">
        <v>4</v>
      </c>
      <c r="B5" s="19" t="n"/>
      <c r="C5" s="35" t="n"/>
      <c r="D5" s="19" t="n"/>
      <c r="E5" s="35">
        <f>IF(B5="","",IF(D5&lt;=0,-C5*D5*2.5/10000,C5*D5*12.5/10000))</f>
        <v/>
      </c>
      <c r="F5" s="35">
        <f>IF(B5="","",C5*D5-E5)</f>
        <v/>
      </c>
      <c r="G5" s="19">
        <f>IF(B5="","",IF(COUNTIF(盘中持仓!B:B,B5),VLOOKUP(B5,盘中持仓!B:D,3,0),0))</f>
        <v/>
      </c>
      <c r="H5" s="35">
        <f>IF(B5="","",IF(G5&lt;&gt;0,IF(G5&gt;0,"","交易超限"),"该股票未持仓，仅可买入"))</f>
        <v/>
      </c>
      <c r="J5" s="0" t="inlineStr">
        <is>
          <t>(空白)</t>
        </is>
      </c>
      <c r="L5" s="0" t="n">
        <v>0</v>
      </c>
    </row>
    <row r="6">
      <c r="A6" s="19" t="n">
        <v>5</v>
      </c>
      <c r="B6" s="19" t="n"/>
      <c r="C6" s="35" t="n"/>
      <c r="D6" s="19" t="n"/>
      <c r="E6" s="35">
        <f>IF(B6="","",IF(D6&lt;=0,-C6*D6*2.5/10000,C6*D6*12.5/10000))</f>
        <v/>
      </c>
      <c r="F6" s="35">
        <f>IF(B6="","",C6*D6-E6)</f>
        <v/>
      </c>
      <c r="G6" s="19">
        <f>IF(B6="","",IF(COUNTIF(盘中持仓!B:B,B6),VLOOKUP(B6,盘中持仓!B:D,3,0),0))</f>
        <v/>
      </c>
      <c r="H6" s="35">
        <f>IF(B6="","",IF(G6&lt;&gt;0,IF(G6&gt;0,"","交易超限"),"该股票未持仓，仅可买入"))</f>
        <v/>
      </c>
      <c r="J6" s="0" t="inlineStr">
        <is>
          <t>中芯国际</t>
        </is>
      </c>
      <c r="K6" s="0" t="n">
        <v>-1600</v>
      </c>
      <c r="L6" s="0" t="n">
        <v>-207283.808</v>
      </c>
    </row>
    <row r="7">
      <c r="A7" s="19" t="n">
        <v>6</v>
      </c>
      <c r="B7" s="19" t="n"/>
      <c r="C7" s="35" t="n"/>
      <c r="D7" s="19" t="n"/>
      <c r="E7" s="35">
        <f>IF(B7="","",IF(D7&lt;=0,-C7*D7*2.5/10000,C7*D7*12.5/10000))</f>
        <v/>
      </c>
      <c r="F7" s="35">
        <f>IF(B7="","",C7*D7-E7)</f>
        <v/>
      </c>
      <c r="G7" s="19">
        <f>IF(B7="","",IF(COUNTIF(盘中持仓!B:B,B7),VLOOKUP(B7,盘中持仓!B:D,3,0),0))</f>
        <v/>
      </c>
      <c r="H7" s="35">
        <f>IF(B7="","",IF(G7&lt;&gt;0,IF(G7&gt;0,"","交易超限"),"该股票未持仓，仅可买入"))</f>
        <v/>
      </c>
      <c r="J7" s="0" t="inlineStr">
        <is>
          <t>宏微科技</t>
        </is>
      </c>
      <c r="K7" s="0" t="n">
        <v>3000</v>
      </c>
      <c r="L7" s="0" t="n">
        <v>98786.3625</v>
      </c>
    </row>
    <row r="8">
      <c r="A8" s="19" t="n">
        <v>7</v>
      </c>
      <c r="B8" s="19" t="n"/>
      <c r="C8" s="35" t="n"/>
      <c r="D8" s="19" t="n"/>
      <c r="E8" s="35">
        <f>IF(B8="","",IF(D8&lt;=0,-C8*D8*2.5/10000,C8*D8*12.5/10000))</f>
        <v/>
      </c>
      <c r="F8" s="35">
        <f>IF(B8="","",C8*D8-E8)</f>
        <v/>
      </c>
      <c r="G8" s="19">
        <f>IF(B8="","",IF(COUNTIF(盘中持仓!B:B,B8),VLOOKUP(B8,盘中持仓!B:D,3,0),0))</f>
        <v/>
      </c>
      <c r="H8" s="35">
        <f>IF(B8="","",IF(G8&lt;&gt;0,IF(G8&gt;0,"","交易超限"),"该股票未持仓，仅可买入"))</f>
        <v/>
      </c>
      <c r="J8" s="0" t="inlineStr">
        <is>
          <t>中微公司</t>
        </is>
      </c>
      <c r="K8" s="0" t="n">
        <v>-700</v>
      </c>
      <c r="L8" s="0" t="n">
        <v>-236785.1815</v>
      </c>
    </row>
    <row r="9">
      <c r="A9" s="19" t="n">
        <v>8</v>
      </c>
      <c r="B9" s="19" t="n"/>
      <c r="C9" s="35" t="n"/>
      <c r="D9" s="19" t="n"/>
      <c r="E9" s="35">
        <f>IF(B9="","",IF(D9&lt;=0,-C9*D9*2.5/10000,C9*D9*12.5/10000))</f>
        <v/>
      </c>
      <c r="F9" s="35">
        <f>IF(B9="","",C9*D9-E9)</f>
        <v/>
      </c>
      <c r="G9" s="19">
        <f>IF(B9="","",IF(COUNTIF(盘中持仓!B:B,B9),VLOOKUP(B9,盘中持仓!B:D,3,0),0))</f>
        <v/>
      </c>
      <c r="H9" s="35">
        <f>IF(B9="","",IF(G9&lt;&gt;0,IF(G9&gt;0,"","交易超限"),"该股票未持仓，仅可买入"))</f>
        <v/>
      </c>
      <c r="J9" s="0" t="inlineStr">
        <is>
          <t>国光电气</t>
        </is>
      </c>
      <c r="K9" s="0" t="n">
        <v>-1800</v>
      </c>
      <c r="L9" s="0" t="n">
        <v>-204423.093</v>
      </c>
    </row>
    <row r="10">
      <c r="A10" s="19" t="n">
        <v>9</v>
      </c>
      <c r="B10" s="19" t="n"/>
      <c r="C10" s="35" t="n"/>
      <c r="D10" s="19" t="n"/>
      <c r="E10" s="35">
        <f>IF(B10="","",IF(D10&lt;=0,-C10*D10*2.5/10000,C10*D10*12.5/10000))</f>
        <v/>
      </c>
      <c r="F10" s="35">
        <f>IF(B10="","",C10*D10-E10)</f>
        <v/>
      </c>
      <c r="G10" s="19">
        <f>IF(B10="","",IF(COUNTIF(盘中持仓!B:B,B10),VLOOKUP(B10,盘中持仓!B:D,3,0),0))</f>
        <v/>
      </c>
      <c r="H10" s="35">
        <f>IF(B10="","",IF(G10&lt;&gt;0,IF(G10&gt;0,"","交易超限"),"该股票未持仓，仅可买入"))</f>
        <v/>
      </c>
      <c r="J10" s="0" t="inlineStr">
        <is>
          <t>斯达半导</t>
        </is>
      </c>
      <c r="K10" s="0" t="n">
        <v>2000</v>
      </c>
      <c r="L10" s="0" t="n">
        <v>203373.465</v>
      </c>
    </row>
    <row r="11">
      <c r="A11" s="19" t="n">
        <v>10</v>
      </c>
      <c r="B11" s="19" t="n"/>
      <c r="C11" s="35" t="n"/>
      <c r="D11" s="19" t="n"/>
      <c r="E11" s="35">
        <f>IF(B11="","",IF(D11&lt;=0,-C11*D11*2.5/10000,C11*D11*12.5/10000))</f>
        <v/>
      </c>
      <c r="F11" s="35">
        <f>IF(B11="","",C11*D11-E11)</f>
        <v/>
      </c>
      <c r="G11" s="19">
        <f>IF(B11="","",IF(COUNTIF(盘中持仓!B:B,B11),VLOOKUP(B11,盘中持仓!B:D,3,0),0))</f>
        <v/>
      </c>
      <c r="H11" s="35">
        <f>IF(B11="","",IF(G11&lt;&gt;0,IF(G11&gt;0,"","交易超限"),"该股票未持仓，仅可买入"))</f>
        <v/>
      </c>
      <c r="J11" s="0" t="inlineStr">
        <is>
          <t>西部黄金</t>
        </is>
      </c>
      <c r="K11" s="0" t="n">
        <v>7200</v>
      </c>
      <c r="L11" s="0" t="n">
        <v>206381.7</v>
      </c>
    </row>
    <row r="12">
      <c r="A12" s="19" t="n">
        <v>11</v>
      </c>
      <c r="B12" s="19" t="n"/>
      <c r="C12" s="35" t="n"/>
      <c r="D12" s="19" t="n"/>
      <c r="E12" s="35">
        <f>IF(B12="","",IF(D12&lt;=0,-C12*D12*2.5/10000,C12*D12*12.5/10000))</f>
        <v/>
      </c>
      <c r="F12" s="35">
        <f>IF(B12="","",C12*D12-E12)</f>
        <v/>
      </c>
      <c r="G12" s="19">
        <f>IF(B12="","",IF(COUNTIF(盘中持仓!B:B,B12),VLOOKUP(B12,盘中持仓!B:D,3,0),0))</f>
        <v/>
      </c>
      <c r="H12" s="35">
        <f>IF(B12="","",IF(G12&lt;&gt;0,IF(G12&gt;0,"","交易超限"),"该股票未持仓，仅可买入"))</f>
        <v/>
      </c>
      <c r="J12" s="0" t="inlineStr">
        <is>
          <t>总计</t>
        </is>
      </c>
      <c r="K12" s="0" t="n">
        <v>9500</v>
      </c>
      <c r="L12" s="0" t="n">
        <v>-124229.972375</v>
      </c>
    </row>
    <row r="13">
      <c r="A13" s="19" t="n">
        <v>12</v>
      </c>
      <c r="B13" s="19" t="n"/>
      <c r="C13" s="35" t="n"/>
      <c r="D13" s="19" t="n"/>
      <c r="E13" s="35">
        <f>IF(B13="","",IF(D13&lt;=0,-C13*D13*2.5/10000,C13*D13*12.5/10000))</f>
        <v/>
      </c>
      <c r="F13" s="35">
        <f>IF(B13="","",C13*D13-E13)</f>
        <v/>
      </c>
      <c r="G13" s="19">
        <f>IF(B13="","",IF(COUNTIF(盘中持仓!B:B,B13),VLOOKUP(B13,盘中持仓!B:D,3,0),0))</f>
        <v/>
      </c>
      <c r="H13" s="35">
        <f>IF(B13="","",IF(G13&lt;&gt;0,IF(G13&gt;0,"","交易超限"),"该股票未持仓，仅可买入"))</f>
        <v/>
      </c>
      <c r="L13" s="0" t="n"/>
    </row>
    <row r="14">
      <c r="A14" s="19" t="n">
        <v>13</v>
      </c>
      <c r="B14" s="19" t="n"/>
      <c r="C14" s="35" t="n"/>
      <c r="D14" s="19" t="n"/>
      <c r="E14" s="35">
        <f>IF(B14="","",IF(D14&lt;=0,-C14*D14*2.5/10000,C14*D14*12.5/10000))</f>
        <v/>
      </c>
      <c r="F14" s="35">
        <f>IF(B14="","",C14*D14-E14)</f>
        <v/>
      </c>
      <c r="G14" s="19">
        <f>IF(B14="","",IF(COUNTIF(盘中持仓!B:B,B14),VLOOKUP(B14,盘中持仓!B:D,3,0),0))</f>
        <v/>
      </c>
      <c r="H14" s="35">
        <f>IF(B14="","",IF(G14&lt;&gt;0,IF(G14&gt;0,"","交易超限"),"该股票未持仓，仅可买入"))</f>
        <v/>
      </c>
      <c r="L14" s="0" t="n"/>
    </row>
    <row r="15">
      <c r="A15" s="19" t="n">
        <v>14</v>
      </c>
      <c r="B15" s="19" t="n"/>
      <c r="C15" s="35" t="n"/>
      <c r="D15" s="19" t="n"/>
      <c r="E15" s="35">
        <f>IF(B15="","",IF(D15&lt;=0,-C15*D15*2.5/10000,C15*D15*12.5/10000))</f>
        <v/>
      </c>
      <c r="F15" s="35">
        <f>IF(B15="","",C15*D15-E15)</f>
        <v/>
      </c>
      <c r="G15" s="19">
        <f>IF(B15="","",IF(COUNTIF(盘中持仓!B:B,B15),VLOOKUP(B15,盘中持仓!B:D,3,0),0))</f>
        <v/>
      </c>
      <c r="H15" s="35">
        <f>IF(B15="","",IF(G15&lt;&gt;0,IF(G15&gt;0,"","交易超限"),"该股票未持仓，仅可买入"))</f>
        <v/>
      </c>
      <c r="L15" s="0" t="n">
        <v>4200</v>
      </c>
      <c r="M15" s="0" t="n">
        <v>29.54</v>
      </c>
      <c r="N15" s="0" t="n">
        <v>124084</v>
      </c>
    </row>
    <row r="16">
      <c r="A16" s="19" t="n">
        <v>15</v>
      </c>
      <c r="B16" s="19" t="n"/>
      <c r="C16" s="35" t="n"/>
      <c r="D16" s="19" t="n"/>
      <c r="E16" s="35">
        <f>IF(B16="","",IF(D16&lt;=0,-C16*D16*2.5/10000,C16*D16*12.5/10000))</f>
        <v/>
      </c>
      <c r="F16" s="35">
        <f>IF(B16="","",C16*D16-E16)</f>
        <v/>
      </c>
      <c r="G16" s="19">
        <f>IF(B16="","",IF(COUNTIF(盘中持仓!B:B,B16),VLOOKUP(B16,盘中持仓!B:D,3,0),0))</f>
        <v/>
      </c>
      <c r="H16" s="35">
        <f>IF(B16="","",IF(G16&lt;&gt;0,IF(G16&gt;0,"","交易超限"),"该股票未持仓，仅可买入"))</f>
        <v/>
      </c>
      <c r="L16" s="0" t="n">
        <v>10900</v>
      </c>
      <c r="N16" s="0" t="n">
        <v>322520</v>
      </c>
    </row>
    <row r="17">
      <c r="A17" s="19" t="n">
        <v>16</v>
      </c>
      <c r="B17" s="19" t="n"/>
      <c r="C17" s="35" t="n"/>
      <c r="D17" s="19" t="n"/>
      <c r="E17" s="35">
        <f>IF(B17="","",IF(D17&lt;=0,-C17*D17*2.5/10000,C17*D17*12.5/10000))</f>
        <v/>
      </c>
      <c r="F17" s="35">
        <f>IF(B17="","",C17*D17-E17)</f>
        <v/>
      </c>
      <c r="G17" s="19">
        <f>IF(B17="","",IF(COUNTIF(盘中持仓!B:B,B17),VLOOKUP(B17,盘中持仓!B:D,3,0),0))</f>
        <v/>
      </c>
      <c r="H17" s="35">
        <f>IF(B17="","",IF(G17&lt;&gt;0,IF(G17&gt;0,"","交易超限"),"该股票未持仓，仅可买入"))</f>
        <v/>
      </c>
      <c r="L17" s="0">
        <f>L16-L15</f>
        <v/>
      </c>
      <c r="M17" s="0">
        <f>N17/L17</f>
        <v/>
      </c>
      <c r="N17" s="0">
        <f>N16-N15</f>
        <v/>
      </c>
    </row>
    <row r="18">
      <c r="A18" s="19" t="n">
        <v>17</v>
      </c>
      <c r="B18" s="19" t="n"/>
      <c r="C18" s="35" t="n"/>
      <c r="D18" s="19" t="n"/>
      <c r="E18" s="35">
        <f>IF(B18="","",IF(D18&lt;=0,-C18*D18*2.5/10000,C18*D18*12.5/10000))</f>
        <v/>
      </c>
      <c r="F18" s="35">
        <f>IF(B18="","",C18*D18-E18)</f>
        <v/>
      </c>
      <c r="G18" s="19">
        <f>IF(B18="","",IF(COUNTIF(盘中持仓!B:B,B18),VLOOKUP(B18,盘中持仓!B:D,3,0),0))</f>
        <v/>
      </c>
      <c r="H18" s="35">
        <f>IF(B18="","",IF(G18&lt;&gt;0,IF(G18&gt;0,"","交易超限"),"该股票未持仓，仅可买入"))</f>
        <v/>
      </c>
      <c r="L18" s="0" t="n"/>
    </row>
    <row r="19">
      <c r="A19" s="19" t="n">
        <v>18</v>
      </c>
      <c r="B19" s="19" t="n"/>
      <c r="C19" s="35" t="n"/>
      <c r="D19" s="19" t="n"/>
      <c r="E19" s="35">
        <f>IF(B19="","",IF(D19&lt;=0,-C19*D19*2.5/10000,C19*D19*12.5/10000))</f>
        <v/>
      </c>
      <c r="F19" s="35">
        <f>IF(B19="","",C19*D19-E19)</f>
        <v/>
      </c>
      <c r="G19" s="19">
        <f>IF(B19="","",IF(COUNTIF(盘中持仓!B:B,B19),VLOOKUP(B19,盘中持仓!B:D,3,0),0))</f>
        <v/>
      </c>
      <c r="H19" s="35">
        <f>IF(B19="","",IF(G19&lt;&gt;0,IF(G19&gt;0,"","交易超限"),"该股票未持仓，仅可买入"))</f>
        <v/>
      </c>
      <c r="L19" s="0" t="n"/>
    </row>
    <row r="20">
      <c r="A20" s="19" t="n">
        <v>19</v>
      </c>
      <c r="B20" s="19" t="n"/>
      <c r="C20" s="35" t="n"/>
      <c r="D20" s="19" t="n"/>
      <c r="E20" s="35">
        <f>IF(B20="","",IF(D20&lt;=0,-C20*D20*2.5/10000,C20*D20*12.5/10000))</f>
        <v/>
      </c>
      <c r="F20" s="35">
        <f>IF(B20="","",C20*D20-E20)</f>
        <v/>
      </c>
      <c r="G20" s="19">
        <f>IF(B20="","",IF(COUNTIF(盘中持仓!B:B,B20),VLOOKUP(B20,盘中持仓!B:D,3,0),0))</f>
        <v/>
      </c>
      <c r="H20" s="35">
        <f>IF(B20="","",IF(G20&lt;&gt;0,IF(G20&gt;0,"","交易超限"),"该股票未持仓，仅可买入"))</f>
        <v/>
      </c>
      <c r="L20" s="0" t="n"/>
    </row>
    <row r="21">
      <c r="A21" s="19" t="n">
        <v>20</v>
      </c>
      <c r="B21" s="19" t="n"/>
      <c r="C21" s="35" t="n"/>
      <c r="D21" s="19" t="n"/>
      <c r="E21" s="35">
        <f>IF(B21="","",IF(D21&lt;=0,-C21*D21*2.5/10000,C21*D21*12.5/10000))</f>
        <v/>
      </c>
      <c r="F21" s="35">
        <f>IF(B21="","",C21*D21-E21)</f>
        <v/>
      </c>
      <c r="G21" s="19">
        <f>IF(B21="","",IF(COUNTIF(盘中持仓!B:B,B21),VLOOKUP(B21,盘中持仓!B:D,3,0),0))</f>
        <v/>
      </c>
      <c r="H21" s="35">
        <f>IF(B21="","",IF(G21&lt;&gt;0,IF(G21&gt;0,"","交易超限"),"该股票未持仓，仅可买入"))</f>
        <v/>
      </c>
      <c r="L21" s="22" t="inlineStr">
        <is>
          <t xml:space="preserve">                                                       </t>
        </is>
      </c>
    </row>
    <row r="22">
      <c r="A22" s="19" t="n">
        <v>21</v>
      </c>
      <c r="B22" s="19" t="n"/>
      <c r="C22" s="35" t="n"/>
      <c r="D22" s="19" t="n"/>
      <c r="E22" s="35">
        <f>IF(B22="","",IF(D22&lt;=0,-C22*D22*2.5/10000,C22*D22*12.5/10000))</f>
        <v/>
      </c>
      <c r="F22" s="35">
        <f>IF(B22="","",C22*D22-E22)</f>
        <v/>
      </c>
      <c r="G22" s="19">
        <f>IF(B22="","",IF(COUNTIF(盘中持仓!B:B,B22),VLOOKUP(B22,盘中持仓!B:D,3,0),0))</f>
        <v/>
      </c>
      <c r="H22" s="35">
        <f>IF(B22="","",IF(G22&lt;&gt;0,IF(G22&gt;0,"","交易超限"),"该股票未持仓，仅可买入"))</f>
        <v/>
      </c>
    </row>
    <row r="23">
      <c r="A23" s="19" t="n">
        <v>22</v>
      </c>
      <c r="B23" s="19" t="n"/>
      <c r="C23" s="35" t="n"/>
      <c r="D23" s="19" t="n"/>
      <c r="E23" s="35">
        <f>IF(B23="","",IF(D23&lt;=0,-C23*D23*2.5/10000,C23*D23*12.5/10000))</f>
        <v/>
      </c>
      <c r="F23" s="35">
        <f>IF(B23="","",C23*D23-E23)</f>
        <v/>
      </c>
      <c r="G23" s="19">
        <f>IF(B23="","",IF(COUNTIF(盘中持仓!B:B,B23),VLOOKUP(B23,盘中持仓!B:D,3,0),0))</f>
        <v/>
      </c>
      <c r="H23" s="35">
        <f>IF(B23="","",IF(G23&lt;&gt;0,IF(G23&gt;0,"","交易超限"),"该股票未持仓，仅可买入"))</f>
        <v/>
      </c>
    </row>
    <row r="24">
      <c r="A24" s="19" t="n">
        <v>23</v>
      </c>
      <c r="B24" s="19" t="n"/>
      <c r="C24" s="35" t="n"/>
      <c r="D24" s="19" t="n"/>
      <c r="E24" s="35">
        <f>IF(B24="","",IF(D24&lt;=0,-C24*D24*2.5/10000,C24*D24*12.5/10000))</f>
        <v/>
      </c>
      <c r="F24" s="35">
        <f>IF(B24="","",C24*D24-E24)</f>
        <v/>
      </c>
      <c r="G24" s="19">
        <f>IF(B24="","",IF(COUNTIF(盘中持仓!B:B,B24),VLOOKUP(B24,盘中持仓!B:D,3,0),0))</f>
        <v/>
      </c>
      <c r="H24" s="35">
        <f>IF(B24="","",IF(G24&lt;&gt;0,IF(G24&gt;0,"","交易超限"),"该股票未持仓，仅可买入"))</f>
        <v/>
      </c>
    </row>
    <row r="25">
      <c r="A25" s="19" t="n">
        <v>24</v>
      </c>
      <c r="B25" s="19" t="n"/>
      <c r="C25" s="35" t="n"/>
      <c r="D25" s="19" t="n"/>
      <c r="E25" s="35">
        <f>IF(B25="","",IF(D25&lt;=0,-C25*D25*2.5/10000,C25*D25*12.5/10000))</f>
        <v/>
      </c>
      <c r="F25" s="35">
        <f>IF(B25="","",C25*D25-E25)</f>
        <v/>
      </c>
      <c r="G25" s="19">
        <f>IF(B25="","",IF(COUNTIF(盘中持仓!B:B,B25),VLOOKUP(B25,盘中持仓!B:D,3,0),0))</f>
        <v/>
      </c>
      <c r="H25" s="35">
        <f>IF(B25="","",IF(G25&lt;&gt;0,IF(G25&gt;0,"","交易超限"),"该股票未持仓，仅可买入"))</f>
        <v/>
      </c>
    </row>
    <row r="26">
      <c r="A26" s="19" t="n">
        <v>25</v>
      </c>
      <c r="B26" s="19" t="n"/>
      <c r="C26" s="35" t="n"/>
      <c r="D26" s="19" t="n"/>
      <c r="E26" s="35">
        <f>IF(B26="","",IF(D26&lt;=0,-C26*D26*2.5/10000,C26*D26*12.5/10000))</f>
        <v/>
      </c>
      <c r="F26" s="35">
        <f>IF(B26="","",C26*D26-E26)</f>
        <v/>
      </c>
      <c r="G26" s="19">
        <f>IF(B26="","",IF(COUNTIF(盘中持仓!B:B,B26),VLOOKUP(B26,盘中持仓!B:D,3,0),0))</f>
        <v/>
      </c>
      <c r="H26" s="35">
        <f>IF(B26="","",IF(G26&lt;&gt;0,IF(G26&gt;0,"","交易超限"),"该股票未持仓，仅可买入"))</f>
        <v/>
      </c>
    </row>
    <row r="27">
      <c r="A27" s="19" t="n">
        <v>26</v>
      </c>
      <c r="B27" s="19" t="n"/>
      <c r="C27" s="35" t="n"/>
      <c r="D27" s="19" t="n"/>
      <c r="E27" s="35">
        <f>IF(B27="","",IF(D27&lt;=0,-C27*D27*2.5/10000,C27*D27*12.5/10000))</f>
        <v/>
      </c>
      <c r="F27" s="35">
        <f>IF(B27="","",C27*D27-E27)</f>
        <v/>
      </c>
      <c r="G27" s="19">
        <f>IF(B27="","",IF(COUNTIF(盘中持仓!B:B,B27),VLOOKUP(B27,盘中持仓!B:D,3,0),0))</f>
        <v/>
      </c>
      <c r="H27" s="35">
        <f>IF(B27="","",IF(G27&lt;&gt;0,IF(G27&gt;0,"","交易超限"),"该股票未持仓，仅可买入"))</f>
        <v/>
      </c>
    </row>
    <row r="28">
      <c r="A28" s="19" t="n">
        <v>27</v>
      </c>
      <c r="B28" s="19" t="n"/>
      <c r="C28" s="35" t="n"/>
      <c r="D28" s="19" t="n"/>
      <c r="E28" s="35">
        <f>IF(B28="","",IF(D28&lt;=0,-C28*D28*2.5/10000,C28*D28*12.5/10000))</f>
        <v/>
      </c>
      <c r="F28" s="35">
        <f>IF(B28="","",C28*D28-E28)</f>
        <v/>
      </c>
      <c r="G28" s="19">
        <f>IF(B28="","",IF(COUNTIF(盘中持仓!B:B,B28),VLOOKUP(B28,盘中持仓!B:D,3,0),0))</f>
        <v/>
      </c>
      <c r="H28" s="35">
        <f>IF(B28="","",IF(G28&lt;&gt;0,IF(G28&gt;0,"","交易超限"),"该股票未持仓，仅可买入"))</f>
        <v/>
      </c>
    </row>
    <row r="29">
      <c r="A29" s="19" t="n">
        <v>28</v>
      </c>
      <c r="B29" s="19" t="n"/>
      <c r="C29" s="35" t="n"/>
      <c r="D29" s="19" t="n"/>
      <c r="E29" s="35">
        <f>IF(B29="","",IF(D29&lt;=0,-C29*D29*2.5/10000,C29*D29*12.5/10000))</f>
        <v/>
      </c>
      <c r="F29" s="35">
        <f>IF(B29="","",C29*D29-E29)</f>
        <v/>
      </c>
      <c r="G29" s="19">
        <f>IF(B29="","",IF(COUNTIF(盘中持仓!B:B,B29),VLOOKUP(B29,盘中持仓!B:D,3,0),0))</f>
        <v/>
      </c>
      <c r="H29" s="35">
        <f>IF(B29="","",IF(G29&lt;&gt;0,IF(G29&gt;0,"","交易超限"),"该股票未持仓，仅可买入"))</f>
        <v/>
      </c>
    </row>
    <row r="30">
      <c r="A30" s="19" t="n">
        <v>29</v>
      </c>
      <c r="B30" s="19" t="n"/>
      <c r="C30" s="35" t="n"/>
      <c r="D30" s="19" t="n"/>
      <c r="E30" s="35">
        <f>IF(B30="","",IF(D30&lt;=0,-C30*D30*2.5/10000,C30*D30*12.5/10000))</f>
        <v/>
      </c>
      <c r="F30" s="35">
        <f>IF(B30="","",C30*D30-E30)</f>
        <v/>
      </c>
      <c r="G30" s="19">
        <f>IF(B30="","",IF(COUNTIF(盘中持仓!B:B,B30),VLOOKUP(B30,盘中持仓!B:D,3,0),0))</f>
        <v/>
      </c>
      <c r="H30" s="35">
        <f>IF(B30="","",IF(G30&lt;&gt;0,IF(G30&gt;0,"","交易超限"),"该股票未持仓，仅可买入"))</f>
        <v/>
      </c>
    </row>
    <row r="31">
      <c r="A31" s="19" t="n">
        <v>30</v>
      </c>
      <c r="B31" s="19" t="n"/>
      <c r="C31" s="35" t="n"/>
      <c r="D31" s="19" t="n"/>
      <c r="E31" s="35">
        <f>IF(B31="","",IF(D31&lt;=0,-C31*D31*2.5/10000,C31*D31*12.5/10000))</f>
        <v/>
      </c>
      <c r="F31" s="35">
        <f>IF(B31="","",C31*D31-E31)</f>
        <v/>
      </c>
      <c r="G31" s="19">
        <f>IF(B31="","",IF(COUNTIF(盘中持仓!B:B,B31),VLOOKUP(B31,盘中持仓!B:D,3,0),0))</f>
        <v/>
      </c>
      <c r="H31" s="35">
        <f>IF(B31="","",IF(G31&lt;&gt;0,IF(G31&gt;0,"","交易超限"),"该股票未持仓，仅可买入"))</f>
        <v/>
      </c>
    </row>
    <row r="32">
      <c r="A32" s="19" t="n">
        <v>31</v>
      </c>
      <c r="B32" s="19" t="n"/>
      <c r="C32" s="35" t="n"/>
      <c r="D32" s="19" t="n"/>
      <c r="E32" s="35">
        <f>IF(B32="","",IF(D32&lt;=0,-C32*D32*2.5/10000,C32*D32*12.5/10000))</f>
        <v/>
      </c>
      <c r="F32" s="35">
        <f>IF(B32="","",C32*D32-E32)</f>
        <v/>
      </c>
      <c r="G32" s="19">
        <f>IF(B32="","",IF(COUNTIF(盘中持仓!B:B,B32),VLOOKUP(B32,盘中持仓!B:D,3,0),0))</f>
        <v/>
      </c>
      <c r="H32" s="35">
        <f>IF(B32="","",IF(G32&lt;&gt;0,IF(G32&gt;0,"","交易超限"),"该股票未持仓，仅可买入"))</f>
        <v/>
      </c>
    </row>
    <row r="33">
      <c r="A33" s="19" t="n">
        <v>32</v>
      </c>
      <c r="B33" s="19" t="n"/>
      <c r="C33" s="35" t="n"/>
      <c r="D33" s="19" t="n"/>
      <c r="E33" s="35">
        <f>IF(B33="","",IF(D33&lt;=0,-C33*D33*2.5/10000,C33*D33*12.5/10000))</f>
        <v/>
      </c>
      <c r="F33" s="35">
        <f>IF(B33="","",C33*D33-E33)</f>
        <v/>
      </c>
      <c r="G33" s="19">
        <f>IF(B33="","",IF(COUNTIF(盘中持仓!B:B,B33),VLOOKUP(B33,盘中持仓!B:D,3,0),0))</f>
        <v/>
      </c>
      <c r="H33" s="35">
        <f>IF(B33="","",IF(G33&lt;&gt;0,IF(G33&gt;0,"","交易超限"),"该股票未持仓，仅可买入"))</f>
        <v/>
      </c>
    </row>
    <row r="34">
      <c r="A34" s="19" t="n">
        <v>33</v>
      </c>
      <c r="B34" s="19" t="n"/>
      <c r="C34" s="35" t="n"/>
      <c r="D34" s="19" t="n"/>
      <c r="E34" s="35">
        <f>IF(B34="","",IF(D34&lt;=0,-C34*D34*2.5/10000,C34*D34*12.5/10000))</f>
        <v/>
      </c>
      <c r="F34" s="35">
        <f>IF(B34="","",C34*D34-E34)</f>
        <v/>
      </c>
      <c r="G34" s="19">
        <f>IF(B34="","",IF(COUNTIF(盘中持仓!B:B,B34),VLOOKUP(B34,盘中持仓!B:D,3,0),0))</f>
        <v/>
      </c>
      <c r="H34" s="35">
        <f>IF(B34="","",IF(G34&lt;&gt;0,IF(G34&gt;0,"","交易超限"),"该股票未持仓，仅可买入"))</f>
        <v/>
      </c>
    </row>
    <row r="35">
      <c r="A35" s="19" t="n">
        <v>34</v>
      </c>
      <c r="B35" s="19" t="n"/>
      <c r="C35" s="35" t="n"/>
      <c r="D35" s="19" t="n"/>
      <c r="E35" s="35">
        <f>IF(B35="","",IF(D35&lt;=0,-C35*D35*2.5/10000,C35*D35*12.5/10000))</f>
        <v/>
      </c>
      <c r="F35" s="35">
        <f>IF(B35="","",C35*D35-E35)</f>
        <v/>
      </c>
      <c r="G35" s="19">
        <f>IF(B35="","",IF(COUNTIF(盘中持仓!B:B,B35),VLOOKUP(B35,盘中持仓!B:D,3,0),0))</f>
        <v/>
      </c>
      <c r="H35" s="35">
        <f>IF(B35="","",IF(G35&lt;&gt;0,IF(G35&gt;0,"","交易超限"),"该股票未持仓，仅可买入"))</f>
        <v/>
      </c>
    </row>
    <row r="36">
      <c r="A36" s="19" t="n">
        <v>35</v>
      </c>
      <c r="B36" s="19" t="n"/>
      <c r="C36" s="35" t="n"/>
      <c r="D36" s="19" t="n"/>
      <c r="E36" s="35">
        <f>IF(B36="","",IF(D36&lt;=0,-C36*D36*2.5/10000,C36*D36*12.5/10000))</f>
        <v/>
      </c>
      <c r="F36" s="35">
        <f>IF(B36="","",C36*D36-E36)</f>
        <v/>
      </c>
      <c r="G36" s="19">
        <f>IF(B36="","",IF(COUNTIF(盘中持仓!B:B,B36),VLOOKUP(B36,盘中持仓!B:D,3,0),0))</f>
        <v/>
      </c>
      <c r="H36" s="35">
        <f>IF(B36="","",IF(G36&lt;&gt;0,IF(G36&gt;0,"","交易超限"),"该股票未持仓，仅可买入"))</f>
        <v/>
      </c>
    </row>
    <row r="37">
      <c r="A37" s="19" t="n">
        <v>36</v>
      </c>
      <c r="B37" s="19" t="n"/>
      <c r="C37" s="35" t="n"/>
      <c r="D37" s="19" t="n"/>
      <c r="E37" s="35">
        <f>IF(B37="","",IF(D37&lt;=0,-C37*D37*2.5/10000,C37*D37*12.5/10000))</f>
        <v/>
      </c>
      <c r="F37" s="35">
        <f>IF(B37="","",C37*D37-E37)</f>
        <v/>
      </c>
      <c r="G37" s="19">
        <f>IF(B37="","",IF(COUNTIF(盘中持仓!B:B,B37),VLOOKUP(B37,盘中持仓!B:D,3,0),0))</f>
        <v/>
      </c>
      <c r="H37" s="35">
        <f>IF(B37="","",IF(G37&lt;&gt;0,IF(G37&gt;0,"","交易超限"),"该股票未持仓，仅可买入"))</f>
        <v/>
      </c>
    </row>
    <row r="38">
      <c r="A38" s="19" t="n">
        <v>37</v>
      </c>
      <c r="B38" s="19" t="n"/>
      <c r="C38" s="35" t="n"/>
      <c r="D38" s="19" t="n"/>
      <c r="E38" s="35">
        <f>IF(B38="","",IF(D38&lt;=0,-C38*D38*2.5/10000,C38*D38*12.5/10000))</f>
        <v/>
      </c>
      <c r="F38" s="35">
        <f>IF(B38="","",C38*D38-E38)</f>
        <v/>
      </c>
      <c r="G38" s="19">
        <f>IF(B38="","",IF(COUNTIF(盘中持仓!B:B,B38),VLOOKUP(B38,盘中持仓!B:D,3,0),0))</f>
        <v/>
      </c>
      <c r="H38" s="35">
        <f>IF(B38="","",IF(G38&lt;&gt;0,IF(G38&gt;0,"","交易超限"),"该股票未持仓，仅可买入"))</f>
        <v/>
      </c>
    </row>
    <row r="39">
      <c r="A39" s="19" t="n">
        <v>38</v>
      </c>
      <c r="B39" s="19" t="n"/>
      <c r="C39" s="35" t="n"/>
      <c r="D39" s="19" t="n"/>
      <c r="E39" s="35">
        <f>IF(B39="","",IF(D39&lt;=0,-C39*D39*2.5/10000,C39*D39*12.5/10000))</f>
        <v/>
      </c>
      <c r="F39" s="35">
        <f>IF(B39="","",C39*D39-E39)</f>
        <v/>
      </c>
      <c r="G39" s="19">
        <f>IF(B39="","",IF(COUNTIF(盘中持仓!B:B,B39),VLOOKUP(B39,盘中持仓!B:D,3,0),0))</f>
        <v/>
      </c>
      <c r="H39" s="35">
        <f>IF(B39="","",IF(G39&lt;&gt;0,IF(G39&gt;0,"","交易超限"),"该股票未持仓，仅可买入"))</f>
        <v/>
      </c>
    </row>
    <row r="40">
      <c r="A40" s="19" t="n">
        <v>39</v>
      </c>
      <c r="B40" s="19" t="n"/>
      <c r="C40" s="35" t="n"/>
      <c r="D40" s="19" t="n"/>
      <c r="E40" s="35">
        <f>IF(B40="","",IF(D40&lt;=0,-C40*D40*2.5/10000,C40*D40*12.5/10000))</f>
        <v/>
      </c>
      <c r="F40" s="35">
        <f>IF(B40="","",C40*D40-E40)</f>
        <v/>
      </c>
      <c r="G40" s="19">
        <f>IF(B40="","",IF(COUNTIF(盘中持仓!B:B,B40),VLOOKUP(B40,盘中持仓!B:D,3,0),0))</f>
        <v/>
      </c>
      <c r="H40" s="35">
        <f>IF(B40="","",IF(G40&lt;&gt;0,IF(G40&gt;0,"","交易超限"),"该股票未持仓，仅可买入"))</f>
        <v/>
      </c>
    </row>
    <row r="41">
      <c r="A41" s="19" t="n">
        <v>40</v>
      </c>
      <c r="B41" s="19" t="n"/>
      <c r="C41" s="35" t="n"/>
      <c r="D41" s="19" t="n"/>
      <c r="E41" s="35">
        <f>IF(B41="","",IF(D41&lt;=0,-C41*D41*2.5/10000,C41*D41*12.5/10000))</f>
        <v/>
      </c>
      <c r="F41" s="35">
        <f>IF(B41="","",C41*D41-E41)</f>
        <v/>
      </c>
      <c r="G41" s="19">
        <f>IF(B41="","",IF(COUNTIF(盘中持仓!B:B,B41),VLOOKUP(B41,盘中持仓!B:D,3,0),0))</f>
        <v/>
      </c>
      <c r="H41" s="35">
        <f>IF(B41="","",IF(G41&lt;&gt;0,IF(G41&gt;0,"","交易超限"),"该股票未持仓，仅可买入"))</f>
        <v/>
      </c>
    </row>
    <row r="42">
      <c r="A42" s="19" t="n">
        <v>41</v>
      </c>
      <c r="B42" s="19" t="n"/>
      <c r="C42" s="35" t="n"/>
      <c r="D42" s="19" t="n"/>
      <c r="E42" s="35">
        <f>IF(B42="","",IF(D42&lt;=0,-C42*D42*2.5/10000,C42*D42*12.5/10000))</f>
        <v/>
      </c>
      <c r="F42" s="35">
        <f>IF(B42="","",C42*D42-E42)</f>
        <v/>
      </c>
      <c r="G42" s="19">
        <f>IF(B42="","",IF(COUNTIF(盘中持仓!B:B,B42),VLOOKUP(B42,盘中持仓!B:D,3,0),0))</f>
        <v/>
      </c>
      <c r="H42" s="35">
        <f>IF(B42="","",IF(G42&lt;&gt;0,IF(G42&gt;0,"","交易超限"),"该股票未持仓，仅可买入"))</f>
        <v/>
      </c>
    </row>
    <row r="43">
      <c r="A43" s="19" t="n">
        <v>42</v>
      </c>
      <c r="B43" s="19" t="n"/>
      <c r="C43" s="35" t="n"/>
      <c r="D43" s="19" t="n"/>
      <c r="E43" s="35">
        <f>IF(B43="","",IF(D43&lt;=0,-C43*D43*2.5/10000,C43*D43*12.5/10000))</f>
        <v/>
      </c>
      <c r="F43" s="35">
        <f>IF(B43="","",C43*D43-E43)</f>
        <v/>
      </c>
      <c r="G43" s="19">
        <f>IF(B43="","",IF(COUNTIF(盘中持仓!B:B,B43),VLOOKUP(B43,盘中持仓!B:D,3,0),0))</f>
        <v/>
      </c>
      <c r="H43" s="35">
        <f>IF(B43="","",IF(G43&lt;&gt;0,IF(G43&gt;0,"","交易超限"),"该股票未持仓，仅可买入"))</f>
        <v/>
      </c>
    </row>
    <row r="44">
      <c r="A44" s="19" t="n">
        <v>43</v>
      </c>
      <c r="B44" s="19" t="n"/>
      <c r="C44" s="35" t="n"/>
      <c r="D44" s="19" t="n"/>
      <c r="E44" s="35">
        <f>IF(B44="","",IF(D44&lt;=0,-C44*D44*2.5/10000,C44*D44*12.5/10000))</f>
        <v/>
      </c>
      <c r="F44" s="35">
        <f>IF(B44="","",C44*D44-E44)</f>
        <v/>
      </c>
      <c r="G44" s="19">
        <f>IF(B44="","",IF(COUNTIF(盘中持仓!B:B,B44),VLOOKUP(B44,盘中持仓!B:D,3,0),0))</f>
        <v/>
      </c>
      <c r="H44" s="35">
        <f>IF(B44="","",IF(G44&lt;&gt;0,IF(G44&gt;0,"","交易超限"),"该股票未持仓，仅可买入"))</f>
        <v/>
      </c>
    </row>
    <row r="45">
      <c r="A45" s="19" t="n">
        <v>44</v>
      </c>
      <c r="B45" s="19" t="n"/>
      <c r="C45" s="35" t="n"/>
      <c r="D45" s="19" t="n"/>
      <c r="E45" s="35">
        <f>IF(B45="","",IF(D45&lt;=0,-C45*D45*2.5/10000,C45*D45*12.5/10000))</f>
        <v/>
      </c>
      <c r="F45" s="35">
        <f>IF(B45="","",C45*D45-E45)</f>
        <v/>
      </c>
      <c r="G45" s="19">
        <f>IF(B45="","",IF(COUNTIF(盘中持仓!B:B,B45),VLOOKUP(B45,盘中持仓!B:D,3,0),0))</f>
        <v/>
      </c>
      <c r="H45" s="35">
        <f>IF(B45="","",IF(G45&lt;&gt;0,IF(G45&gt;0,"","交易超限"),"该股票未持仓，仅可买入"))</f>
        <v/>
      </c>
    </row>
    <row r="46">
      <c r="A46" s="19" t="n">
        <v>45</v>
      </c>
      <c r="B46" s="19" t="n"/>
      <c r="C46" s="35" t="n"/>
      <c r="D46" s="19" t="n"/>
      <c r="E46" s="35">
        <f>IF(B46="","",IF(D46&lt;=0,-C46*D46*2.5/10000,C46*D46*12.5/10000))</f>
        <v/>
      </c>
      <c r="F46" s="35">
        <f>IF(B46="","",C46*D46-E46)</f>
        <v/>
      </c>
      <c r="G46" s="19">
        <f>IF(B46="","",IF(COUNTIF(盘中持仓!B:B,B46),VLOOKUP(B46,盘中持仓!B:D,3,0),0))</f>
        <v/>
      </c>
      <c r="H46" s="35">
        <f>IF(B46="","",IF(G46&lt;&gt;0,IF(G46&gt;0,"","交易超限"),"该股票未持仓，仅可买入"))</f>
        <v/>
      </c>
    </row>
    <row r="47">
      <c r="A47" s="19" t="n">
        <v>46</v>
      </c>
      <c r="B47" s="19" t="n"/>
      <c r="C47" s="35" t="n"/>
      <c r="D47" s="19" t="n"/>
      <c r="E47" s="35">
        <f>IF(B47="","",IF(D47&lt;=0,-C47*D47*2.5/10000,C47*D47*12.5/10000))</f>
        <v/>
      </c>
      <c r="F47" s="35">
        <f>IF(B47="","",C47*D47-E47)</f>
        <v/>
      </c>
      <c r="G47" s="19">
        <f>IF(B47="","",IF(COUNTIF(盘中持仓!B:B,B47),VLOOKUP(B47,盘中持仓!B:D,3,0),0))</f>
        <v/>
      </c>
      <c r="H47" s="35">
        <f>IF(B47="","",IF(G47&lt;&gt;0,IF(G47&gt;0,"","交易超限"),"该股票未持仓，仅可买入"))</f>
        <v/>
      </c>
    </row>
    <row r="48">
      <c r="A48" s="19" t="n">
        <v>47</v>
      </c>
      <c r="B48" s="19" t="n"/>
      <c r="C48" s="35" t="n"/>
      <c r="D48" s="19" t="n"/>
      <c r="E48" s="35">
        <f>IF(B48="","",IF(D48&lt;=0,-C48*D48*2.5/10000,C48*D48*12.5/10000))</f>
        <v/>
      </c>
      <c r="F48" s="35">
        <f>IF(B48="","",C48*D48-E48)</f>
        <v/>
      </c>
      <c r="G48" s="19">
        <f>IF(B48="","",IF(COUNTIF(盘中持仓!B:B,B48),VLOOKUP(B48,盘中持仓!B:D,3,0),0))</f>
        <v/>
      </c>
      <c r="H48" s="35">
        <f>IF(B48="","",IF(G48&lt;&gt;0,IF(G48&gt;0,"","交易超限"),"该股票未持仓，仅可买入"))</f>
        <v/>
      </c>
    </row>
    <row r="49">
      <c r="A49" s="19" t="n">
        <v>48</v>
      </c>
      <c r="B49" s="19" t="n"/>
      <c r="C49" s="35" t="n"/>
      <c r="D49" s="19" t="n"/>
      <c r="E49" s="35">
        <f>IF(B49="","",IF(D49&lt;=0,-C49*D49*2.5/10000,C49*D49*12.5/10000))</f>
        <v/>
      </c>
      <c r="F49" s="35">
        <f>IF(B49="","",C49*D49-E49)</f>
        <v/>
      </c>
      <c r="G49" s="19">
        <f>IF(B49="","",IF(COUNTIF(盘中持仓!B:B,B49),VLOOKUP(B49,盘中持仓!B:D,3,0),0))</f>
        <v/>
      </c>
      <c r="H49" s="35">
        <f>IF(B49="","",IF(G49&lt;&gt;0,IF(G49&gt;0,"","交易超限"),"该股票未持仓，仅可买入"))</f>
        <v/>
      </c>
    </row>
    <row r="50">
      <c r="A50" s="19" t="n">
        <v>49</v>
      </c>
      <c r="B50" s="19" t="n"/>
      <c r="C50" s="35" t="n"/>
      <c r="D50" s="19" t="n"/>
      <c r="E50" s="35">
        <f>IF(B50="","",IF(D50&lt;=0,-C50*D50*2.5/10000,C50*D50*12.5/10000))</f>
        <v/>
      </c>
      <c r="F50" s="35">
        <f>IF(B50="","",C50*D50-E50)</f>
        <v/>
      </c>
      <c r="G50" s="19">
        <f>IF(B50="","",IF(COUNTIF(盘中持仓!B:B,B50),VLOOKUP(B50,盘中持仓!B:D,3,0),0))</f>
        <v/>
      </c>
      <c r="H50" s="35">
        <f>IF(B50="","",IF(G50&lt;&gt;0,IF(G50&gt;0,"","交易超限"),"该股票未持仓，仅可买入"))</f>
        <v/>
      </c>
    </row>
    <row r="51">
      <c r="A51" s="19" t="n">
        <v>50</v>
      </c>
      <c r="B51" s="19" t="n"/>
      <c r="C51" s="35" t="n"/>
      <c r="D51" s="19" t="n"/>
      <c r="E51" s="35">
        <f>IF(B51="","",IF(D51&lt;=0,-C51*D51*2.5/10000,C51*D51*12.5/10000))</f>
        <v/>
      </c>
      <c r="F51" s="35">
        <f>IF(B51="","",C51*D51-E51)</f>
        <v/>
      </c>
      <c r="G51" s="19">
        <f>IF(B51="","",IF(COUNTIF(盘中持仓!B:B,B51),VLOOKUP(B51,盘中持仓!B:D,3,0),0))</f>
        <v/>
      </c>
      <c r="H51" s="35">
        <f>IF(B51="","",IF(G51&lt;&gt;0,IF(G51&gt;0,"","交易超限"),"该股票未持仓，仅可买入"))</f>
        <v/>
      </c>
    </row>
    <row r="52">
      <c r="A52" s="19" t="n">
        <v>51</v>
      </c>
      <c r="B52" s="19" t="n"/>
      <c r="C52" s="35" t="n"/>
      <c r="D52" s="19" t="n"/>
      <c r="E52" s="35">
        <f>IF(B52="","",IF(D52&lt;=0,-C52*D52*2.5/10000,C52*D52*12.5/10000))</f>
        <v/>
      </c>
      <c r="F52" s="35">
        <f>IF(B52="","",C52*D52-E52)</f>
        <v/>
      </c>
      <c r="G52" s="19">
        <f>IF(B52="","",IF(COUNTIF(盘中持仓!B:B,B52),VLOOKUP(B52,盘中持仓!B:D,3,0),0))</f>
        <v/>
      </c>
      <c r="H52" s="35">
        <f>IF(B52="","",IF(G52&lt;&gt;0,IF(G52&gt;0,"","交易超限"),"该股票未持仓，仅可买入"))</f>
        <v/>
      </c>
    </row>
    <row r="53">
      <c r="A53" s="19" t="n">
        <v>52</v>
      </c>
      <c r="B53" s="19" t="n"/>
      <c r="C53" s="35" t="n"/>
      <c r="D53" s="19" t="n"/>
      <c r="E53" s="35">
        <f>IF(B53="","",IF(D53&lt;=0,-C53*D53*2.5/10000,C53*D53*12.5/10000))</f>
        <v/>
      </c>
      <c r="F53" s="35">
        <f>IF(B53="","",C53*D53-E53)</f>
        <v/>
      </c>
      <c r="G53" s="19">
        <f>IF(B53="","",IF(COUNTIF(盘中持仓!B:B,B53),VLOOKUP(B53,盘中持仓!B:D,3,0),0))</f>
        <v/>
      </c>
      <c r="H53" s="35">
        <f>IF(B53="","",IF(G53&lt;&gt;0,IF(G53&gt;0,"","交易超限"),"该股票未持仓，仅可买入"))</f>
        <v/>
      </c>
    </row>
    <row r="54">
      <c r="A54" s="19" t="n">
        <v>53</v>
      </c>
      <c r="B54" s="19" t="n"/>
      <c r="C54" s="35" t="n"/>
      <c r="D54" s="19" t="n"/>
      <c r="E54" s="35">
        <f>IF(B54="","",IF(D54&lt;=0,-C54*D54*2.5/10000,C54*D54*12.5/10000))</f>
        <v/>
      </c>
      <c r="F54" s="35">
        <f>IF(B54="","",C54*D54-E54)</f>
        <v/>
      </c>
      <c r="G54" s="19">
        <f>IF(B54="","",IF(COUNTIF(盘中持仓!B:B,B54),VLOOKUP(B54,盘中持仓!B:D,3,0),0))</f>
        <v/>
      </c>
      <c r="H54" s="35">
        <f>IF(B54="","",IF(G54&lt;&gt;0,IF(G54&gt;0,"","交易超限"),"该股票未持仓，仅可买入"))</f>
        <v/>
      </c>
    </row>
    <row r="55">
      <c r="A55" s="19" t="n">
        <v>54</v>
      </c>
      <c r="B55" s="19" t="n"/>
      <c r="C55" s="35" t="n"/>
      <c r="D55" s="19" t="n"/>
      <c r="E55" s="35">
        <f>IF(B55="","",IF(D55&lt;=0,-C55*D55*2.5/10000,C55*D55*12.5/10000))</f>
        <v/>
      </c>
      <c r="F55" s="35">
        <f>IF(B55="","",C55*D55-E55)</f>
        <v/>
      </c>
      <c r="G55" s="19">
        <f>IF(B55="","",IF(COUNTIF(盘中持仓!B:B,B55),VLOOKUP(B55,盘中持仓!B:D,3,0),0))</f>
        <v/>
      </c>
      <c r="H55" s="35">
        <f>IF(B55="","",IF(G55&lt;&gt;0,IF(G55&gt;0,"","交易超限"),"该股票未持仓，仅可买入"))</f>
        <v/>
      </c>
    </row>
    <row r="56">
      <c r="A56" s="19" t="n">
        <v>55</v>
      </c>
      <c r="B56" s="19" t="n"/>
      <c r="C56" s="35" t="n"/>
      <c r="D56" s="19" t="n"/>
      <c r="E56" s="35">
        <f>IF(B56="","",IF(D56&lt;=0,-C56*D56*2.5/10000,C56*D56*12.5/10000))</f>
        <v/>
      </c>
      <c r="F56" s="35">
        <f>IF(B56="","",C56*D56-E56)</f>
        <v/>
      </c>
      <c r="G56" s="19">
        <f>IF(B56="","",IF(COUNTIF(盘中持仓!B:B,B56),VLOOKUP(B56,盘中持仓!B:D,3,0),0))</f>
        <v/>
      </c>
      <c r="H56" s="35">
        <f>IF(B56="","",IF(G56&lt;&gt;0,IF(G56&gt;0,"","交易超限"),"该股票未持仓，仅可买入"))</f>
        <v/>
      </c>
    </row>
    <row r="57">
      <c r="A57" s="19" t="n">
        <v>56</v>
      </c>
      <c r="B57" s="19" t="n"/>
      <c r="C57" s="35" t="n"/>
      <c r="D57" s="19" t="n"/>
      <c r="E57" s="35">
        <f>IF(B57="","",IF(D57&lt;=0,-C57*D57*2.5/10000,C57*D57*12.5/10000))</f>
        <v/>
      </c>
      <c r="F57" s="35">
        <f>IF(B57="","",C57*D57-E57)</f>
        <v/>
      </c>
      <c r="G57" s="19">
        <f>IF(B57="","",IF(COUNTIF(盘中持仓!B:B,B57),VLOOKUP(B57,盘中持仓!B:D,3,0),0))</f>
        <v/>
      </c>
      <c r="H57" s="35">
        <f>IF(B57="","",IF(G57&lt;&gt;0,IF(G57&gt;0,"","交易超限"),"该股票未持仓，仅可买入"))</f>
        <v/>
      </c>
    </row>
    <row r="58">
      <c r="A58" s="19" t="n">
        <v>57</v>
      </c>
      <c r="B58" s="19" t="n"/>
      <c r="C58" s="35" t="n"/>
      <c r="D58" s="19" t="n"/>
      <c r="E58" s="35">
        <f>IF(B58="","",IF(D58&lt;=0,-C58*D58*2.5/10000,C58*D58*12.5/10000))</f>
        <v/>
      </c>
      <c r="F58" s="35">
        <f>IF(B58="","",C58*D58-E58)</f>
        <v/>
      </c>
      <c r="G58" s="19">
        <f>IF(B58="","",IF(COUNTIF(盘中持仓!B:B,B58),VLOOKUP(B58,盘中持仓!B:D,3,0),0))</f>
        <v/>
      </c>
      <c r="H58" s="35">
        <f>IF(B58="","",IF(G58&lt;&gt;0,IF(G58&gt;0,"","交易超限"),"该股票未持仓，仅可买入"))</f>
        <v/>
      </c>
    </row>
    <row r="59">
      <c r="A59" s="19" t="n">
        <v>58</v>
      </c>
      <c r="B59" s="19" t="n"/>
      <c r="C59" s="35" t="n"/>
      <c r="D59" s="19" t="n"/>
      <c r="E59" s="35">
        <f>IF(B59="","",IF(D59&lt;=0,-C59*D59*2.5/10000,C59*D59*12.5/10000))</f>
        <v/>
      </c>
      <c r="F59" s="35">
        <f>IF(B59="","",C59*D59-E59)</f>
        <v/>
      </c>
      <c r="G59" s="19">
        <f>IF(B59="","",IF(COUNTIF(盘中持仓!B:B,B59),VLOOKUP(B59,盘中持仓!B:D,3,0),0))</f>
        <v/>
      </c>
      <c r="H59" s="35">
        <f>IF(B59="","",IF(G59&lt;&gt;0,IF(G59&gt;0,"","交易超限"),"该股票未持仓，仅可买入"))</f>
        <v/>
      </c>
    </row>
    <row r="60">
      <c r="A60" s="19" t="n">
        <v>59</v>
      </c>
      <c r="B60" s="19" t="n"/>
      <c r="C60" s="35" t="n"/>
      <c r="D60" s="19" t="n"/>
      <c r="E60" s="35">
        <f>IF(B60="","",IF(D60&lt;=0,-C60*D60*2.5/10000,C60*D60*12.5/10000))</f>
        <v/>
      </c>
      <c r="F60" s="35">
        <f>IF(B60="","",C60*D60-E60)</f>
        <v/>
      </c>
      <c r="G60" s="19">
        <f>IF(B60="","",IF(COUNTIF(盘中持仓!B:B,B60),VLOOKUP(B60,盘中持仓!B:D,3,0),0))</f>
        <v/>
      </c>
      <c r="H60" s="35">
        <f>IF(B60="","",IF(G60&lt;&gt;0,IF(G60&gt;0,"","交易超限"),"该股票未持仓，仅可买入"))</f>
        <v/>
      </c>
    </row>
    <row r="61">
      <c r="A61" s="19" t="n">
        <v>60</v>
      </c>
      <c r="B61" s="19" t="n"/>
      <c r="C61" s="35" t="n"/>
      <c r="D61" s="19" t="n"/>
      <c r="E61" s="35">
        <f>IF(B61="","",IF(D61&lt;=0,-C61*D61*2.5/10000,C61*D61*12.5/10000))</f>
        <v/>
      </c>
      <c r="F61" s="35">
        <f>IF(B61="","",C61*D61-E61)</f>
        <v/>
      </c>
      <c r="G61" s="19">
        <f>IF(B61="","",IF(COUNTIF(盘中持仓!B:B,B61),VLOOKUP(B61,盘中持仓!B:D,3,0),0))</f>
        <v/>
      </c>
      <c r="H61" s="35">
        <f>IF(B61="","",IF(G61&lt;&gt;0,IF(G61&gt;0,"","交易超限"),"该股票未持仓，仅可买入"))</f>
        <v/>
      </c>
    </row>
    <row r="62">
      <c r="A62" s="19" t="n">
        <v>61</v>
      </c>
      <c r="B62" s="19" t="n"/>
      <c r="C62" s="35" t="n"/>
      <c r="D62" s="19" t="n"/>
      <c r="E62" s="35">
        <f>IF(B62="","",IF(D62&lt;=0,-C62*D62*2.5/10000,C62*D62*12.5/10000))</f>
        <v/>
      </c>
      <c r="F62" s="35">
        <f>IF(B62="","",C62*D62-E62)</f>
        <v/>
      </c>
      <c r="G62" s="19">
        <f>IF(B62="","",IF(COUNTIF(盘中持仓!B:B,B62),VLOOKUP(B62,盘中持仓!B:D,3,0),0))</f>
        <v/>
      </c>
      <c r="H62" s="35">
        <f>IF(B62="","",IF(G62&lt;&gt;0,IF(G62&gt;0,"","交易超限"),"该股票未持仓，仅可买入"))</f>
        <v/>
      </c>
    </row>
    <row r="63">
      <c r="A63" s="19" t="n">
        <v>62</v>
      </c>
      <c r="B63" s="19" t="n"/>
      <c r="C63" s="35" t="n"/>
      <c r="D63" s="19" t="n"/>
      <c r="E63" s="35">
        <f>IF(B63="","",IF(D63&lt;=0,-C63*D63*2.5/10000,C63*D63*12.5/10000))</f>
        <v/>
      </c>
      <c r="F63" s="35">
        <f>IF(B63="","",C63*D63-E63)</f>
        <v/>
      </c>
      <c r="G63" s="19">
        <f>IF(B63="","",IF(COUNTIF(盘中持仓!B:B,B63),VLOOKUP(B63,盘中持仓!B:D,3,0),0))</f>
        <v/>
      </c>
      <c r="H63" s="35">
        <f>IF(B63="","",IF(G63&lt;&gt;0,IF(G63&gt;0,"","交易超限"),"该股票未持仓，仅可买入"))</f>
        <v/>
      </c>
    </row>
    <row r="64">
      <c r="A64" s="19" t="n">
        <v>63</v>
      </c>
      <c r="B64" s="19" t="n"/>
      <c r="C64" s="35" t="n"/>
      <c r="D64" s="19" t="n"/>
      <c r="E64" s="35">
        <f>IF(B64="","",IF(D64&lt;=0,-C64*D64*2.5/10000,C64*D64*12.5/10000))</f>
        <v/>
      </c>
      <c r="F64" s="35">
        <f>IF(B64="","",C64*D64-E64)</f>
        <v/>
      </c>
      <c r="G64" s="19">
        <f>IF(B64="","",IF(COUNTIF(盘中持仓!B:B,B64),VLOOKUP(B64,盘中持仓!B:D,3,0),0))</f>
        <v/>
      </c>
      <c r="H64" s="35">
        <f>IF(B64="","",IF(G64&lt;&gt;0,IF(G64&gt;0,"","交易超限"),"该股票未持仓，仅可买入"))</f>
        <v/>
      </c>
    </row>
    <row r="65">
      <c r="A65" s="19" t="n">
        <v>64</v>
      </c>
      <c r="B65" s="19" t="n"/>
      <c r="C65" s="35" t="n"/>
      <c r="D65" s="19" t="n"/>
      <c r="E65" s="35">
        <f>IF(B65="","",IF(D65&lt;=0,-C65*D65*2.5/10000,C65*D65*12.5/10000))</f>
        <v/>
      </c>
      <c r="F65" s="35">
        <f>IF(B65="","",C65*D65-E65)</f>
        <v/>
      </c>
      <c r="G65" s="19">
        <f>IF(B65="","",IF(COUNTIF(盘中持仓!B:B,B65),VLOOKUP(B65,盘中持仓!B:D,3,0),0))</f>
        <v/>
      </c>
      <c r="H65" s="35">
        <f>IF(B65="","",IF(G65&lt;&gt;0,IF(G65&gt;0,"","交易超限"),"该股票未持仓，仅可买入"))</f>
        <v/>
      </c>
    </row>
    <row r="66">
      <c r="A66" s="19" t="n">
        <v>65</v>
      </c>
      <c r="B66" s="19" t="n"/>
      <c r="C66" s="35" t="n"/>
      <c r="D66" s="19" t="n"/>
      <c r="E66" s="35">
        <f>IF(B66="","",IF(D66&lt;=0,-C66*D66*2.5/10000,C66*D66*12.5/10000))</f>
        <v/>
      </c>
      <c r="F66" s="35">
        <f>IF(B66="","",C66*D66-E66)</f>
        <v/>
      </c>
      <c r="G66" s="19">
        <f>IF(B66="","",IF(COUNTIF(盘中持仓!B:B,B66),VLOOKUP(B66,盘中持仓!B:D,3,0),0))</f>
        <v/>
      </c>
      <c r="H66" s="35">
        <f>IF(B66="","",IF(G66&lt;&gt;0,IF(G66&gt;0,"","交易超限"),"该股票未持仓，仅可买入"))</f>
        <v/>
      </c>
    </row>
    <row r="67">
      <c r="A67" s="19" t="n">
        <v>66</v>
      </c>
      <c r="B67" s="19" t="n"/>
      <c r="C67" s="35" t="n"/>
      <c r="D67" s="19" t="n"/>
      <c r="E67" s="35">
        <f>IF(B67="","",IF(D67&lt;=0,-C67*D67*2.5/10000,C67*D67*12.5/10000))</f>
        <v/>
      </c>
      <c r="F67" s="35">
        <f>IF(B67="","",C67*D67-E67)</f>
        <v/>
      </c>
      <c r="G67" s="19">
        <f>IF(B67="","",IF(COUNTIF(盘中持仓!B:B,B67),VLOOKUP(B67,盘中持仓!B:D,3,0),0))</f>
        <v/>
      </c>
      <c r="H67" s="35">
        <f>IF(B67="","",IF(G67&lt;&gt;0,IF(G67&gt;0,"","交易超限"),"该股票未持仓，仅可买入"))</f>
        <v/>
      </c>
    </row>
    <row r="68">
      <c r="A68" s="19" t="n">
        <v>67</v>
      </c>
      <c r="B68" s="19" t="n"/>
      <c r="C68" s="35" t="n"/>
      <c r="D68" s="19" t="n"/>
      <c r="E68" s="35">
        <f>IF(B68="","",IF(D68&lt;=0,-C68*D68*2.5/10000,C68*D68*12.5/10000))</f>
        <v/>
      </c>
      <c r="F68" s="35">
        <f>IF(B68="","",C68*D68-E68)</f>
        <v/>
      </c>
      <c r="G68" s="19">
        <f>IF(B68="","",IF(COUNTIF(盘中持仓!B:B,B68),VLOOKUP(B68,盘中持仓!B:D,3,0),0))</f>
        <v/>
      </c>
      <c r="H68" s="35">
        <f>IF(B68="","",IF(G68&lt;&gt;0,IF(G68&gt;0,"","交易超限"),"该股票未持仓，仅可买入"))</f>
        <v/>
      </c>
    </row>
    <row r="69">
      <c r="A69" s="19" t="n">
        <v>68</v>
      </c>
      <c r="B69" s="19" t="n"/>
      <c r="C69" s="35" t="n"/>
      <c r="D69" s="19" t="n"/>
      <c r="E69" s="35">
        <f>IF(B69="","",IF(D69&lt;=0,-C69*D69*2.5/10000,C69*D69*12.5/10000))</f>
        <v/>
      </c>
      <c r="F69" s="35">
        <f>IF(B69="","",C69*D69-E69)</f>
        <v/>
      </c>
      <c r="G69" s="19">
        <f>IF(B69="","",IF(COUNTIF(盘中持仓!B:B,B69),VLOOKUP(B69,盘中持仓!B:D,3,0),0))</f>
        <v/>
      </c>
      <c r="H69" s="35">
        <f>IF(B69="","",IF(G69&lt;&gt;0,IF(G69&gt;0,"","交易超限"),"该股票未持仓，仅可买入"))</f>
        <v/>
      </c>
    </row>
    <row r="70">
      <c r="A70" s="19" t="n">
        <v>69</v>
      </c>
      <c r="B70" s="19" t="n"/>
      <c r="C70" s="35" t="n"/>
      <c r="D70" s="19" t="n"/>
      <c r="E70" s="35">
        <f>IF(B70="","",IF(D70&lt;=0,-C70*D70*2.5/10000,C70*D70*12.5/10000))</f>
        <v/>
      </c>
      <c r="F70" s="35">
        <f>IF(B70="","",C70*D70-E70)</f>
        <v/>
      </c>
      <c r="G70" s="19">
        <f>IF(B70="","",IF(COUNTIF(盘中持仓!B:B,B70),VLOOKUP(B70,盘中持仓!B:D,3,0),0))</f>
        <v/>
      </c>
      <c r="H70" s="35">
        <f>IF(B70="","",IF(G70&lt;&gt;0,IF(G70&gt;0,"","交易超限"),"该股票未持仓，仅可买入"))</f>
        <v/>
      </c>
    </row>
    <row r="71">
      <c r="A71" s="19" t="n">
        <v>70</v>
      </c>
      <c r="B71" s="19" t="n"/>
      <c r="C71" s="35" t="n"/>
      <c r="D71" s="19" t="n"/>
      <c r="E71" s="35">
        <f>IF(B71="","",IF(D71&lt;=0,-C71*D71*2.5/10000,C71*D71*12.5/10000))</f>
        <v/>
      </c>
      <c r="F71" s="35">
        <f>IF(B71="","",C71*D71-E71)</f>
        <v/>
      </c>
      <c r="G71" s="19">
        <f>IF(B71="","",IF(COUNTIF(盘中持仓!B:B,B71),VLOOKUP(B71,盘中持仓!B:D,3,0),0))</f>
        <v/>
      </c>
      <c r="H71" s="35">
        <f>IF(B71="","",IF(G71&lt;&gt;0,IF(G71&gt;0,"","交易超限"),"该股票未持仓，仅可买入"))</f>
        <v/>
      </c>
    </row>
    <row r="72">
      <c r="A72" s="19" t="n">
        <v>71</v>
      </c>
      <c r="B72" s="19" t="n"/>
      <c r="C72" s="35" t="n"/>
      <c r="D72" s="19" t="n"/>
      <c r="E72" s="35">
        <f>IF(B72="","",IF(D72&lt;=0,-C72*D72*2.5/10000,C72*D72*12.5/10000))</f>
        <v/>
      </c>
      <c r="F72" s="35">
        <f>IF(B72="","",C72*D72-E72)</f>
        <v/>
      </c>
      <c r="G72" s="19">
        <f>IF(B72="","",IF(COUNTIF(盘中持仓!B:B,B72),VLOOKUP(B72,盘中持仓!B:D,3,0),0))</f>
        <v/>
      </c>
      <c r="H72" s="35">
        <f>IF(B72="","",IF(G72&lt;&gt;0,IF(G72&gt;0,"","交易超限"),"该股票未持仓，仅可买入"))</f>
        <v/>
      </c>
    </row>
    <row r="73">
      <c r="A73" s="19" t="n">
        <v>72</v>
      </c>
      <c r="B73" s="19" t="n"/>
      <c r="C73" s="35" t="n"/>
      <c r="D73" s="19" t="n"/>
      <c r="E73" s="35">
        <f>IF(B73="","",IF(D73&lt;=0,-C73*D73*2.5/10000,C73*D73*12.5/10000))</f>
        <v/>
      </c>
      <c r="F73" s="35">
        <f>IF(B73="","",C73*D73-E73)</f>
        <v/>
      </c>
      <c r="G73" s="19">
        <f>IF(B73="","",IF(COUNTIF(盘中持仓!B:B,B73),VLOOKUP(B73,盘中持仓!B:D,3,0),0))</f>
        <v/>
      </c>
      <c r="H73" s="35">
        <f>IF(B73="","",IF(G73&lt;&gt;0,IF(G73&gt;0,"","交易超限"),"该股票未持仓，仅可买入"))</f>
        <v/>
      </c>
    </row>
    <row r="74">
      <c r="A74" s="19" t="n">
        <v>73</v>
      </c>
      <c r="B74" s="19" t="n"/>
      <c r="C74" s="35" t="n"/>
      <c r="D74" s="19" t="n"/>
      <c r="E74" s="35">
        <f>IF(B74="","",IF(D74&lt;=0,-C74*D74*2.5/10000,C74*D74*12.5/10000))</f>
        <v/>
      </c>
      <c r="F74" s="35">
        <f>IF(B74="","",C74*D74-E74)</f>
        <v/>
      </c>
      <c r="G74" s="19">
        <f>IF(B74="","",IF(COUNTIF(盘中持仓!B:B,B74),VLOOKUP(B74,盘中持仓!B:D,3,0),0))</f>
        <v/>
      </c>
      <c r="H74" s="35">
        <f>IF(B74="","",IF(G74&lt;&gt;0,IF(G74&gt;0,"","交易超限"),"该股票未持仓，仅可买入"))</f>
        <v/>
      </c>
    </row>
    <row r="75">
      <c r="A75" s="19" t="n">
        <v>74</v>
      </c>
      <c r="B75" s="19" t="n"/>
      <c r="C75" s="35" t="n"/>
      <c r="D75" s="19" t="n"/>
      <c r="E75" s="35">
        <f>IF(B75="","",IF(D75&lt;=0,-C75*D75*2.5/10000,C75*D75*12.5/10000))</f>
        <v/>
      </c>
      <c r="F75" s="35">
        <f>IF(B75="","",C75*D75-E75)</f>
        <v/>
      </c>
      <c r="G75" s="19">
        <f>IF(B75="","",IF(COUNTIF(盘中持仓!B:B,B75),VLOOKUP(B75,盘中持仓!B:D,3,0),0))</f>
        <v/>
      </c>
      <c r="H75" s="35">
        <f>IF(B75="","",IF(G75&lt;&gt;0,IF(G75&gt;0,"","交易超限"),"该股票未持仓，仅可买入"))</f>
        <v/>
      </c>
    </row>
    <row r="76">
      <c r="A76" s="19" t="n">
        <v>75</v>
      </c>
      <c r="B76" s="19" t="n"/>
      <c r="C76" s="35" t="n"/>
      <c r="D76" s="19" t="n"/>
      <c r="E76" s="35">
        <f>IF(B76="","",IF(D76&lt;=0,-C76*D76*2.5/10000,C76*D76*12.5/10000))</f>
        <v/>
      </c>
      <c r="F76" s="35">
        <f>IF(B76="","",C76*D76-E76)</f>
        <v/>
      </c>
      <c r="G76" s="19">
        <f>IF(B76="","",IF(COUNTIF(盘中持仓!B:B,B76),VLOOKUP(B76,盘中持仓!B:D,3,0),0))</f>
        <v/>
      </c>
      <c r="H76" s="35">
        <f>IF(B76="","",IF(G76&lt;&gt;0,IF(G76&gt;0,"","交易超限"),"该股票未持仓，仅可买入"))</f>
        <v/>
      </c>
    </row>
    <row r="77">
      <c r="A77" s="19" t="n">
        <v>76</v>
      </c>
      <c r="B77" s="19" t="n"/>
      <c r="C77" s="35" t="n"/>
      <c r="D77" s="19" t="n"/>
      <c r="E77" s="35">
        <f>IF(B77="","",IF(D77&lt;=0,-C77*D77*2.5/10000,C77*D77*12.5/10000))</f>
        <v/>
      </c>
      <c r="F77" s="35">
        <f>IF(B77="","",C77*D77-E77)</f>
        <v/>
      </c>
      <c r="G77" s="19">
        <f>IF(B77="","",IF(COUNTIF(盘中持仓!B:B,B77),VLOOKUP(B77,盘中持仓!B:D,3,0),0))</f>
        <v/>
      </c>
      <c r="H77" s="35">
        <f>IF(B77="","",IF(G77&lt;&gt;0,IF(G77&gt;0,"","交易超限"),"该股票未持仓，仅可买入"))</f>
        <v/>
      </c>
    </row>
    <row r="78">
      <c r="A78" s="19" t="n">
        <v>77</v>
      </c>
      <c r="B78" s="19" t="n"/>
      <c r="C78" s="35" t="n"/>
      <c r="D78" s="19" t="n"/>
      <c r="E78" s="35">
        <f>IF(B78="","",IF(D78&lt;=0,-C78*D78*2.5/10000,C78*D78*12.5/10000))</f>
        <v/>
      </c>
      <c r="F78" s="35">
        <f>IF(B78="","",C78*D78-E78)</f>
        <v/>
      </c>
      <c r="G78" s="19">
        <f>IF(B78="","",IF(COUNTIF(盘中持仓!B:B,B78),VLOOKUP(B78,盘中持仓!B:D,3,0),0))</f>
        <v/>
      </c>
      <c r="H78" s="35">
        <f>IF(B78="","",IF(G78&lt;&gt;0,IF(G78&gt;0,"","交易超限"),"该股票未持仓，仅可买入"))</f>
        <v/>
      </c>
    </row>
    <row r="79">
      <c r="A79" s="19" t="n">
        <v>78</v>
      </c>
      <c r="B79" s="19" t="n"/>
      <c r="C79" s="35" t="n"/>
      <c r="D79" s="19" t="n"/>
      <c r="E79" s="35">
        <f>IF(B79="","",IF(D79&lt;=0,-C79*D79*2.5/10000,C79*D79*12.5/10000))</f>
        <v/>
      </c>
      <c r="F79" s="35">
        <f>IF(B79="","",C79*D79-E79)</f>
        <v/>
      </c>
      <c r="G79" s="19">
        <f>IF(B79="","",IF(COUNTIF(盘中持仓!B:B,B79),VLOOKUP(B79,盘中持仓!B:D,3,0),0))</f>
        <v/>
      </c>
      <c r="H79" s="35">
        <f>IF(B79="","",IF(G79&lt;&gt;0,IF(G79&gt;0,"","交易超限"),"该股票未持仓，仅可买入"))</f>
        <v/>
      </c>
    </row>
    <row r="80">
      <c r="A80" s="19" t="n">
        <v>79</v>
      </c>
      <c r="B80" s="19" t="n"/>
      <c r="C80" s="35" t="n"/>
      <c r="D80" s="19" t="n"/>
      <c r="E80" s="35">
        <f>IF(B80="","",IF(D80&lt;=0,-C80*D80*2.5/10000,C80*D80*12.5/10000))</f>
        <v/>
      </c>
      <c r="F80" s="35">
        <f>IF(B80="","",C80*D80-E80)</f>
        <v/>
      </c>
      <c r="G80" s="19">
        <f>IF(B80="","",IF(COUNTIF(盘中持仓!B:B,B80),VLOOKUP(B80,盘中持仓!B:D,3,0),0))</f>
        <v/>
      </c>
      <c r="H80" s="35">
        <f>IF(B80="","",IF(G80&lt;&gt;0,IF(G80&gt;0,"","交易超限"),"该股票未持仓，仅可买入"))</f>
        <v/>
      </c>
    </row>
    <row r="81">
      <c r="A81" s="19" t="n">
        <v>80</v>
      </c>
      <c r="B81" s="19" t="n"/>
      <c r="C81" s="35" t="n"/>
      <c r="D81" s="19" t="n"/>
      <c r="E81" s="35">
        <f>IF(B81="","",IF(D81&lt;=0,-C81*D81*2.5/10000,C81*D81*12.5/10000))</f>
        <v/>
      </c>
      <c r="F81" s="35">
        <f>IF(B81="","",C81*D81-E81)</f>
        <v/>
      </c>
      <c r="G81" s="19">
        <f>IF(B81="","",IF(COUNTIF(盘中持仓!B:B,B81),VLOOKUP(B81,盘中持仓!B:D,3,0),0))</f>
        <v/>
      </c>
      <c r="H81" s="35">
        <f>IF(B81="","",IF(G81&lt;&gt;0,IF(G81&gt;0,"","交易超限"),"该股票未持仓，仅可买入"))</f>
        <v/>
      </c>
    </row>
    <row r="82">
      <c r="A82" s="19" t="n">
        <v>81</v>
      </c>
      <c r="B82" s="19" t="n"/>
      <c r="C82" s="35" t="n"/>
      <c r="D82" s="19" t="n"/>
      <c r="E82" s="35">
        <f>IF(B82="","",IF(D82&lt;=0,-C82*D82*2.5/10000,C82*D82*12.5/10000))</f>
        <v/>
      </c>
      <c r="F82" s="35">
        <f>IF(B82="","",C82*D82-E82)</f>
        <v/>
      </c>
      <c r="G82" s="19">
        <f>IF(B82="","",IF(COUNTIF(盘中持仓!B:B,B82),VLOOKUP(B82,盘中持仓!B:D,3,0),0))</f>
        <v/>
      </c>
      <c r="H82" s="35">
        <f>IF(B82="","",IF(G82&lt;&gt;0,IF(G82&gt;0,"","交易超限"),"该股票未持仓，仅可买入"))</f>
        <v/>
      </c>
    </row>
    <row r="83">
      <c r="A83" s="19" t="n">
        <v>82</v>
      </c>
      <c r="B83" s="19" t="n"/>
      <c r="C83" s="35" t="n"/>
      <c r="D83" s="19" t="n"/>
      <c r="E83" s="35">
        <f>IF(B83="","",IF(D83&lt;=0,-C83*D83*2.5/10000,C83*D83*12.5/10000))</f>
        <v/>
      </c>
      <c r="F83" s="35">
        <f>IF(B83="","",C83*D83-E83)</f>
        <v/>
      </c>
      <c r="G83" s="19">
        <f>IF(B83="","",IF(COUNTIF(盘中持仓!B:B,B83),VLOOKUP(B83,盘中持仓!B:D,3,0),0))</f>
        <v/>
      </c>
      <c r="H83" s="35">
        <f>IF(B83="","",IF(G83&lt;&gt;0,IF(G83&gt;0,"","交易超限"),"该股票未持仓，仅可买入"))</f>
        <v/>
      </c>
    </row>
    <row r="84">
      <c r="A84" s="19" t="n">
        <v>83</v>
      </c>
      <c r="B84" s="19" t="n"/>
      <c r="C84" s="35" t="n"/>
      <c r="D84" s="19" t="n"/>
      <c r="E84" s="35">
        <f>IF(B84="","",IF(D84&lt;=0,-C84*D84*2.5/10000,C84*D84*12.5/10000))</f>
        <v/>
      </c>
      <c r="F84" s="35">
        <f>IF(B84="","",C84*D84-E84)</f>
        <v/>
      </c>
      <c r="G84" s="19">
        <f>IF(B84="","",IF(COUNTIF(盘中持仓!B:B,B84),VLOOKUP(B84,盘中持仓!B:D,3,0),0))</f>
        <v/>
      </c>
      <c r="H84" s="35">
        <f>IF(B84="","",IF(G84&lt;&gt;0,IF(G84&gt;0,"","交易超限"),"该股票未持仓，仅可买入"))</f>
        <v/>
      </c>
    </row>
    <row r="85">
      <c r="A85" s="19" t="n">
        <v>84</v>
      </c>
      <c r="B85" s="19" t="n"/>
      <c r="C85" s="35" t="n"/>
      <c r="D85" s="19" t="n"/>
      <c r="E85" s="35">
        <f>IF(B85="","",IF(D85&lt;=0,-C85*D85*2.5/10000,C85*D85*12.5/10000))</f>
        <v/>
      </c>
      <c r="F85" s="35">
        <f>IF(B85="","",C85*D85-E85)</f>
        <v/>
      </c>
      <c r="G85" s="19">
        <f>IF(B85="","",IF(COUNTIF(盘中持仓!B:B,B85),VLOOKUP(B85,盘中持仓!B:D,3,0),0))</f>
        <v/>
      </c>
      <c r="H85" s="35">
        <f>IF(B85="","",IF(G85&lt;&gt;0,IF(G85&gt;0,"","交易超限"),"该股票未持仓，仅可买入"))</f>
        <v/>
      </c>
    </row>
    <row r="86">
      <c r="A86" s="19" t="n">
        <v>85</v>
      </c>
      <c r="B86" s="19" t="n"/>
      <c r="C86" s="35" t="n"/>
      <c r="D86" s="19" t="n"/>
      <c r="E86" s="35">
        <f>IF(B86="","",IF(D86&lt;=0,-C86*D86*2.5/10000,C86*D86*12.5/10000))</f>
        <v/>
      </c>
      <c r="F86" s="35">
        <f>IF(B86="","",C86*D86-E86)</f>
        <v/>
      </c>
      <c r="G86" s="19">
        <f>IF(B86="","",IF(COUNTIF(盘中持仓!B:B,B86),VLOOKUP(B86,盘中持仓!B:D,3,0),0))</f>
        <v/>
      </c>
      <c r="H86" s="35">
        <f>IF(B86="","",IF(G86&lt;&gt;0,IF(G86&gt;0,"","交易超限"),"该股票未持仓，仅可买入"))</f>
        <v/>
      </c>
    </row>
    <row r="87">
      <c r="A87" s="19" t="n">
        <v>86</v>
      </c>
      <c r="B87" s="19" t="n"/>
      <c r="C87" s="35" t="n"/>
      <c r="D87" s="19" t="n"/>
      <c r="E87" s="35">
        <f>IF(B87="","",IF(D87&lt;=0,-C87*D87*2.5/10000,C87*D87*12.5/10000))</f>
        <v/>
      </c>
      <c r="F87" s="35">
        <f>IF(B87="","",C87*D87-E87)</f>
        <v/>
      </c>
      <c r="G87" s="19">
        <f>IF(B87="","",IF(COUNTIF(盘中持仓!B:B,B87),VLOOKUP(B87,盘中持仓!B:D,3,0),0))</f>
        <v/>
      </c>
      <c r="H87" s="35">
        <f>IF(B87="","",IF(G87&lt;&gt;0,IF(G87&gt;0,"","交易超限"),"该股票未持仓，仅可买入"))</f>
        <v/>
      </c>
    </row>
    <row r="88">
      <c r="A88" s="19" t="n">
        <v>87</v>
      </c>
      <c r="B88" s="19" t="n"/>
      <c r="C88" s="35" t="n"/>
      <c r="D88" s="19" t="n"/>
      <c r="E88" s="35">
        <f>IF(B88="","",IF(D88&lt;=0,-C88*D88*2.5/10000,C88*D88*12.5/10000))</f>
        <v/>
      </c>
      <c r="F88" s="35">
        <f>IF(B88="","",C88*D88-E88)</f>
        <v/>
      </c>
      <c r="G88" s="19">
        <f>IF(B88="","",IF(COUNTIF(盘中持仓!B:B,B88),VLOOKUP(B88,盘中持仓!B:D,3,0),0))</f>
        <v/>
      </c>
      <c r="H88" s="35">
        <f>IF(B88="","",IF(G88&lt;&gt;0,IF(G88&gt;0,"","交易超限"),"该股票未持仓，仅可买入"))</f>
        <v/>
      </c>
    </row>
    <row r="89">
      <c r="A89" s="19" t="n">
        <v>88</v>
      </c>
      <c r="B89" s="19" t="n"/>
      <c r="C89" s="35" t="n"/>
      <c r="D89" s="19" t="n"/>
      <c r="E89" s="35">
        <f>IF(B89="","",IF(D89&lt;=0,-C89*D89*2.5/10000,C89*D89*12.5/10000))</f>
        <v/>
      </c>
      <c r="F89" s="35">
        <f>IF(B89="","",C89*D89-E89)</f>
        <v/>
      </c>
      <c r="G89" s="19">
        <f>IF(B89="","",IF(COUNTIF(盘中持仓!B:B,B89),VLOOKUP(B89,盘中持仓!B:D,3,0),0))</f>
        <v/>
      </c>
      <c r="H89" s="35">
        <f>IF(B89="","",IF(G89&lt;&gt;0,IF(G89&gt;0,"","交易超限"),"该股票未持仓，仅可买入"))</f>
        <v/>
      </c>
    </row>
    <row r="90">
      <c r="A90" s="19" t="n">
        <v>89</v>
      </c>
      <c r="B90" s="19" t="n"/>
      <c r="C90" s="35" t="n"/>
      <c r="D90" s="19" t="n"/>
      <c r="E90" s="35">
        <f>IF(B90="","",IF(D90&lt;=0,-C90*D90*2.5/10000,C90*D90*12.5/10000))</f>
        <v/>
      </c>
      <c r="F90" s="35">
        <f>IF(B90="","",C90*D90-E90)</f>
        <v/>
      </c>
      <c r="G90" s="19">
        <f>IF(B90="","",IF(COUNTIF(盘中持仓!B:B,B90),VLOOKUP(B90,盘中持仓!B:D,3,0),0))</f>
        <v/>
      </c>
      <c r="H90" s="35">
        <f>IF(B90="","",IF(G90&lt;&gt;0,IF(G90&gt;0,"","交易超限"),"该股票未持仓，仅可买入"))</f>
        <v/>
      </c>
    </row>
    <row r="91">
      <c r="A91" s="19" t="n">
        <v>90</v>
      </c>
      <c r="B91" s="19" t="n"/>
      <c r="C91" s="35" t="n"/>
      <c r="D91" s="19" t="n"/>
      <c r="E91" s="35">
        <f>IF(B91="","",IF(D91&lt;=0,-C91*D91*2.5/10000,C91*D91*12.5/10000))</f>
        <v/>
      </c>
      <c r="F91" s="35">
        <f>IF(B91="","",C91*D91-E91)</f>
        <v/>
      </c>
      <c r="G91" s="19">
        <f>IF(B91="","",IF(COUNTIF(盘中持仓!B:B,B91),VLOOKUP(B91,盘中持仓!B:D,3,0),0))</f>
        <v/>
      </c>
      <c r="H91" s="35">
        <f>IF(B91="","",IF(G91&lt;&gt;0,IF(G91&gt;0,"","交易超限"),"该股票未持仓，仅可买入"))</f>
        <v/>
      </c>
    </row>
    <row r="92">
      <c r="A92" s="19" t="n">
        <v>91</v>
      </c>
      <c r="B92" s="19" t="n"/>
      <c r="C92" s="35" t="n"/>
      <c r="D92" s="19" t="n"/>
      <c r="E92" s="35">
        <f>IF(B92="","",IF(D92&lt;=0,-C92*D92*2.5/10000,C92*D92*12.5/10000))</f>
        <v/>
      </c>
      <c r="F92" s="35">
        <f>IF(B92="","",C92*D92-E92)</f>
        <v/>
      </c>
      <c r="G92" s="19">
        <f>IF(B92="","",IF(COUNTIF(盘中持仓!B:B,B92),VLOOKUP(B92,盘中持仓!B:D,3,0),0))</f>
        <v/>
      </c>
      <c r="H92" s="35">
        <f>IF(B92="","",IF(G92&lt;&gt;0,IF(G92&gt;0,"","交易超限"),"该股票未持仓，仅可买入"))</f>
        <v/>
      </c>
    </row>
    <row r="93">
      <c r="A93" s="19" t="n">
        <v>92</v>
      </c>
      <c r="B93" s="19" t="n"/>
      <c r="C93" s="35" t="n"/>
      <c r="D93" s="19" t="n"/>
      <c r="E93" s="35">
        <f>IF(B93="","",IF(D93&lt;=0,-C93*D93*2.5/10000,C93*D93*12.5/10000))</f>
        <v/>
      </c>
      <c r="F93" s="35">
        <f>IF(B93="","",C93*D93-E93)</f>
        <v/>
      </c>
      <c r="G93" s="19">
        <f>IF(B93="","",IF(COUNTIF(盘中持仓!B:B,B93),VLOOKUP(B93,盘中持仓!B:D,3,0),0))</f>
        <v/>
      </c>
      <c r="H93" s="35">
        <f>IF(B93="","",IF(G93&lt;&gt;0,IF(G93&gt;0,"","交易超限"),"该股票未持仓，仅可买入"))</f>
        <v/>
      </c>
    </row>
    <row r="94">
      <c r="A94" s="19" t="n">
        <v>93</v>
      </c>
      <c r="B94" s="19" t="n"/>
      <c r="C94" s="35" t="n"/>
      <c r="D94" s="19" t="n"/>
      <c r="E94" s="35">
        <f>IF(B94="","",IF(D94&lt;=0,-C94*D94*2.5/10000,C94*D94*12.5/10000))</f>
        <v/>
      </c>
      <c r="F94" s="35">
        <f>IF(B94="","",C94*D94-E94)</f>
        <v/>
      </c>
      <c r="G94" s="19">
        <f>IF(B94="","",IF(COUNTIF(盘中持仓!B:B,B94),VLOOKUP(B94,盘中持仓!B:D,3,0),0))</f>
        <v/>
      </c>
      <c r="H94" s="35">
        <f>IF(B94="","",IF(G94&lt;&gt;0,IF(G94&gt;0,"","交易超限"),"该股票未持仓，仅可买入"))</f>
        <v/>
      </c>
    </row>
    <row r="95">
      <c r="A95" s="19" t="n">
        <v>94</v>
      </c>
      <c r="B95" s="19" t="n"/>
      <c r="C95" s="35" t="n"/>
      <c r="D95" s="19" t="n"/>
      <c r="E95" s="35">
        <f>IF(B95="","",IF(D95&lt;=0,-C95*D95*2.5/10000,C95*D95*12.5/10000))</f>
        <v/>
      </c>
      <c r="F95" s="35">
        <f>IF(B95="","",C95*D95-E95)</f>
        <v/>
      </c>
      <c r="G95" s="19">
        <f>IF(B95="","",IF(COUNTIF(盘中持仓!B:B,B95),VLOOKUP(B95,盘中持仓!B:D,3,0),0))</f>
        <v/>
      </c>
      <c r="H95" s="35">
        <f>IF(B95="","",IF(G95&lt;&gt;0,IF(G95&gt;0,"","交易超限"),"该股票未持仓，仅可买入"))</f>
        <v/>
      </c>
    </row>
    <row r="96">
      <c r="A96" s="19" t="n">
        <v>95</v>
      </c>
      <c r="B96" s="19" t="n"/>
      <c r="C96" s="35" t="n"/>
      <c r="D96" s="19" t="n"/>
      <c r="E96" s="35">
        <f>IF(B96="","",IF(D96&lt;=0,-C96*D96*2.5/10000,C96*D96*12.5/10000))</f>
        <v/>
      </c>
      <c r="F96" s="35">
        <f>IF(B96="","",C96*D96-E96)</f>
        <v/>
      </c>
      <c r="G96" s="19">
        <f>IF(B96="","",IF(COUNTIF(盘中持仓!B:B,B96),VLOOKUP(B96,盘中持仓!B:D,3,0),0))</f>
        <v/>
      </c>
      <c r="H96" s="35">
        <f>IF(B96="","",IF(G96&lt;&gt;0,IF(G96&gt;0,"","交易超限"),"该股票未持仓，仅可买入"))</f>
        <v/>
      </c>
    </row>
    <row r="97">
      <c r="A97" s="19" t="n">
        <v>96</v>
      </c>
      <c r="B97" s="19" t="n"/>
      <c r="C97" s="35" t="n"/>
      <c r="D97" s="19" t="n"/>
      <c r="E97" s="35">
        <f>IF(B97="","",IF(D97&lt;=0,-C97*D97*2.5/10000,C97*D97*12.5/10000))</f>
        <v/>
      </c>
      <c r="F97" s="35">
        <f>IF(B97="","",C97*D97-E97)</f>
        <v/>
      </c>
      <c r="G97" s="19">
        <f>IF(B97="","",IF(COUNTIF(盘中持仓!B:B,B97),VLOOKUP(B97,盘中持仓!B:D,3,0),0))</f>
        <v/>
      </c>
      <c r="H97" s="35">
        <f>IF(B97="","",IF(G97&lt;&gt;0,IF(G97&gt;0,"","交易超限"),"该股票未持仓，仅可买入"))</f>
        <v/>
      </c>
    </row>
    <row r="98">
      <c r="A98" s="19" t="n">
        <v>97</v>
      </c>
      <c r="B98" s="19" t="n"/>
      <c r="C98" s="35" t="n"/>
      <c r="D98" s="19" t="n"/>
      <c r="E98" s="35">
        <f>IF(B98="","",IF(D98&lt;=0,-C98*D98*2.5/10000,C98*D98*12.5/10000))</f>
        <v/>
      </c>
      <c r="F98" s="35">
        <f>IF(B98="","",C98*D98-E98)</f>
        <v/>
      </c>
      <c r="G98" s="19">
        <f>IF(B98="","",IF(COUNTIF(盘中持仓!B:B,B98),VLOOKUP(B98,盘中持仓!B:D,3,0),0))</f>
        <v/>
      </c>
      <c r="H98" s="35">
        <f>IF(B98="","",IF(G98&lt;&gt;0,IF(G98&gt;0,"","交易超限"),"该股票未持仓，仅可买入"))</f>
        <v/>
      </c>
    </row>
    <row r="99">
      <c r="A99" s="19" t="n">
        <v>98</v>
      </c>
      <c r="B99" s="19" t="n"/>
      <c r="C99" s="35" t="n"/>
      <c r="D99" s="19" t="n"/>
      <c r="E99" s="35">
        <f>IF(B99="","",IF(D99&lt;=0,-C99*D99*2.5/10000,C99*D99*12.5/10000))</f>
        <v/>
      </c>
      <c r="F99" s="35">
        <f>IF(B99="","",C99*D99-E99)</f>
        <v/>
      </c>
      <c r="G99" s="19">
        <f>IF(B99="","",IF(COUNTIF(盘中持仓!B:B,B99),VLOOKUP(B99,盘中持仓!B:D,3,0),0))</f>
        <v/>
      </c>
      <c r="H99" s="35">
        <f>IF(B99="","",IF(G99&lt;&gt;0,IF(G99&gt;0,"","交易超限"),"该股票未持仓，仅可买入"))</f>
        <v/>
      </c>
    </row>
    <row r="100">
      <c r="A100" s="19" t="n">
        <v>99</v>
      </c>
      <c r="B100" s="19" t="n"/>
      <c r="C100" s="35" t="n"/>
      <c r="D100" s="19" t="n"/>
      <c r="E100" s="35">
        <f>IF(B100="","",IF(D100&lt;=0,-C100*D100*2.5/10000,C100*D100*12.5/10000))</f>
        <v/>
      </c>
      <c r="F100" s="35">
        <f>IF(B100="","",C100*D100-E100)</f>
        <v/>
      </c>
      <c r="G100" s="19">
        <f>IF(B100="","",IF(COUNTIF(盘中持仓!B:B,B100),VLOOKUP(B100,盘中持仓!B:D,3,0),0))</f>
        <v/>
      </c>
      <c r="H100" s="35">
        <f>IF(B100="","",IF(G100&lt;&gt;0,IF(G100&gt;0,"","交易超限"),"该股票未持仓，仅可买入"))</f>
        <v/>
      </c>
    </row>
    <row r="101">
      <c r="A101" s="19" t="n">
        <v>100</v>
      </c>
      <c r="B101" s="19" t="n"/>
      <c r="C101" s="35" t="n"/>
      <c r="D101" s="19" t="n"/>
      <c r="E101" s="35">
        <f>IF(B101="","",IF(D101&lt;=0,-C101*D101*2.5/10000,C101*D101*12.5/10000))</f>
        <v/>
      </c>
      <c r="F101" s="35">
        <f>IF(B101="","",C101*D101-E101)</f>
        <v/>
      </c>
      <c r="G101" s="19">
        <f>IF(B101="","",IF(COUNTIF(盘中持仓!B:B,B101),VLOOKUP(B101,盘中持仓!B:D,3,0),0))</f>
        <v/>
      </c>
      <c r="H101" s="35">
        <f>IF(B101="","",IF(G101&lt;&gt;0,IF(G101&gt;0,"","交易超限"),"该股票未持仓，仅可买入"))</f>
        <v/>
      </c>
    </row>
    <row r="102">
      <c r="A102" s="19" t="n">
        <v>101</v>
      </c>
      <c r="B102" s="19" t="n"/>
      <c r="C102" s="35" t="n"/>
      <c r="D102" s="19" t="n"/>
      <c r="E102" s="35">
        <f>IF(B102="","",IF(D102&lt;=0,-C102*D102*2.5/10000,C102*D102*12.5/10000))</f>
        <v/>
      </c>
      <c r="F102" s="35">
        <f>IF(B102="","",C102*D102-E102)</f>
        <v/>
      </c>
      <c r="G102" s="19">
        <f>IF(B102="","",IF(COUNTIF(盘中持仓!B:B,B102),VLOOKUP(B102,盘中持仓!B:D,3,0),0))</f>
        <v/>
      </c>
      <c r="H102" s="35">
        <f>IF(B102="","",IF(G102&lt;&gt;0,IF(G102&gt;0,"","交易超限"),"该股票未持仓，仅可买入"))</f>
        <v/>
      </c>
    </row>
    <row r="103">
      <c r="A103" s="19" t="n">
        <v>102</v>
      </c>
      <c r="B103" s="19" t="n"/>
      <c r="C103" s="35" t="n"/>
      <c r="D103" s="19" t="n"/>
      <c r="E103" s="35">
        <f>IF(B103="","",IF(D103&lt;=0,-C103*D103*2.5/10000,C103*D103*12.5/10000))</f>
        <v/>
      </c>
      <c r="F103" s="35">
        <f>IF(B103="","",C103*D103-E103)</f>
        <v/>
      </c>
      <c r="G103" s="19">
        <f>IF(B103="","",IF(COUNTIF(盘中持仓!B:B,B103),VLOOKUP(B103,盘中持仓!B:D,3,0),0))</f>
        <v/>
      </c>
      <c r="H103" s="35">
        <f>IF(B103="","",IF(G103&lt;&gt;0,IF(G103&gt;0,"","交易超限"),"该股票未持仓，仅可买入"))</f>
        <v/>
      </c>
    </row>
    <row r="104">
      <c r="A104" s="19" t="n">
        <v>103</v>
      </c>
      <c r="B104" s="19" t="n"/>
      <c r="C104" s="35" t="n"/>
      <c r="D104" s="19" t="n"/>
      <c r="E104" s="35">
        <f>IF(B104="","",IF(D104&lt;=0,-C104*D104*2.5/10000,C104*D104*12.5/10000))</f>
        <v/>
      </c>
      <c r="F104" s="35">
        <f>IF(B104="","",C104*D104-E104)</f>
        <v/>
      </c>
      <c r="G104" s="19">
        <f>IF(B104="","",IF(COUNTIF(盘中持仓!B:B,B104),VLOOKUP(B104,盘中持仓!B:D,3,0),0))</f>
        <v/>
      </c>
      <c r="H104" s="35">
        <f>IF(B104="","",IF(G104&lt;&gt;0,IF(G104&gt;0,"","交易超限"),"该股票未持仓，仅可买入"))</f>
        <v/>
      </c>
    </row>
    <row r="105">
      <c r="A105" s="19" t="n">
        <v>104</v>
      </c>
      <c r="B105" s="19" t="n"/>
      <c r="C105" s="35" t="n"/>
      <c r="D105" s="19" t="n"/>
      <c r="E105" s="35">
        <f>IF(B105="","",IF(D105&lt;=0,-C105*D105*2.5/10000,C105*D105*12.5/10000))</f>
        <v/>
      </c>
      <c r="F105" s="35">
        <f>IF(B105="","",C105*D105-E105)</f>
        <v/>
      </c>
      <c r="G105" s="19">
        <f>IF(B105="","",IF(COUNTIF(盘中持仓!B:B,B105),VLOOKUP(B105,盘中持仓!B:D,3,0),0))</f>
        <v/>
      </c>
      <c r="H105" s="35">
        <f>IF(B105="","",IF(G105&lt;&gt;0,IF(G105&gt;0,"","交易超限"),"该股票未持仓，仅可买入"))</f>
        <v/>
      </c>
    </row>
    <row r="106">
      <c r="A106" s="19" t="n">
        <v>105</v>
      </c>
      <c r="B106" s="19" t="n"/>
      <c r="C106" s="35" t="n"/>
      <c r="D106" s="19" t="n"/>
      <c r="E106" s="35">
        <f>IF(B106="","",IF(D106&lt;=0,-C106*D106*2.5/10000,C106*D106*12.5/10000))</f>
        <v/>
      </c>
      <c r="F106" s="35">
        <f>IF(B106="","",C106*D106-E106)</f>
        <v/>
      </c>
      <c r="G106" s="19">
        <f>IF(B106="","",IF(COUNTIF(盘中持仓!B:B,B106),VLOOKUP(B106,盘中持仓!B:D,3,0),0))</f>
        <v/>
      </c>
      <c r="H106" s="35">
        <f>IF(B106="","",IF(G106&lt;&gt;0,IF(G106&gt;0,"","交易超限"),"该股票未持仓，仅可买入"))</f>
        <v/>
      </c>
    </row>
    <row r="107">
      <c r="A107" s="19" t="n">
        <v>106</v>
      </c>
      <c r="B107" s="19" t="n"/>
      <c r="C107" s="35" t="n"/>
      <c r="D107" s="19" t="n"/>
      <c r="E107" s="35">
        <f>IF(B107="","",IF(D107&lt;=0,-C107*D107*2.5/10000,C107*D107*12.5/10000))</f>
        <v/>
      </c>
      <c r="F107" s="35">
        <f>IF(B107="","",C107*D107-E107)</f>
        <v/>
      </c>
      <c r="G107" s="19">
        <f>IF(B107="","",IF(COUNTIF(盘中持仓!B:B,B107),VLOOKUP(B107,盘中持仓!B:D,3,0),0))</f>
        <v/>
      </c>
      <c r="H107" s="35">
        <f>IF(B107="","",IF(G107&lt;&gt;0,IF(G107&gt;0,"","交易超限"),"该股票未持仓，仅可买入"))</f>
        <v/>
      </c>
    </row>
    <row r="108">
      <c r="A108" s="19" t="n">
        <v>107</v>
      </c>
      <c r="B108" s="19" t="n"/>
      <c r="C108" s="35" t="n"/>
      <c r="D108" s="19" t="n"/>
      <c r="E108" s="35">
        <f>IF(B108="","",IF(D108&lt;=0,-C108*D108*2.5/10000,C108*D108*12.5/10000))</f>
        <v/>
      </c>
      <c r="F108" s="35">
        <f>IF(B108="","",C108*D108-E108)</f>
        <v/>
      </c>
      <c r="G108" s="19">
        <f>IF(B108="","",IF(COUNTIF(盘中持仓!B:B,B108),VLOOKUP(B108,盘中持仓!B:D,3,0),0))</f>
        <v/>
      </c>
      <c r="H108" s="35">
        <f>IF(B108="","",IF(G108&lt;&gt;0,IF(G108&gt;0,"","交易超限"),"该股票未持仓，仅可买入"))</f>
        <v/>
      </c>
    </row>
    <row r="109">
      <c r="A109" s="19" t="n">
        <v>108</v>
      </c>
      <c r="B109" s="19" t="n"/>
      <c r="C109" s="35" t="n"/>
      <c r="D109" s="19" t="n"/>
      <c r="E109" s="35">
        <f>IF(B109="","",IF(D109&lt;=0,-C109*D109*2.5/10000,C109*D109*12.5/10000))</f>
        <v/>
      </c>
      <c r="F109" s="35">
        <f>IF(B109="","",C109*D109-E109)</f>
        <v/>
      </c>
      <c r="G109" s="19">
        <f>IF(B109="","",IF(COUNTIF(盘中持仓!B:B,B109),VLOOKUP(B109,盘中持仓!B:D,3,0),0))</f>
        <v/>
      </c>
      <c r="H109" s="35">
        <f>IF(B109="","",IF(G109&lt;&gt;0,IF(G109&gt;0,"","交易超限"),"该股票未持仓，仅可买入"))</f>
        <v/>
      </c>
    </row>
    <row r="110">
      <c r="A110" s="19" t="n">
        <v>109</v>
      </c>
      <c r="B110" s="19" t="n"/>
      <c r="C110" s="35" t="n"/>
      <c r="D110" s="19" t="n"/>
      <c r="E110" s="35">
        <f>IF(B110="","",IF(D110&lt;=0,-C110*D110*2.5/10000,C110*D110*12.5/10000))</f>
        <v/>
      </c>
      <c r="F110" s="35">
        <f>IF(B110="","",C110*D110-E110)</f>
        <v/>
      </c>
      <c r="G110" s="19">
        <f>IF(B110="","",IF(COUNTIF(盘中持仓!B:B,B110),VLOOKUP(B110,盘中持仓!B:D,3,0),0))</f>
        <v/>
      </c>
      <c r="H110" s="35">
        <f>IF(B110="","",IF(G110&lt;&gt;0,IF(G110&gt;0,"","交易超限"),"该股票未持仓，仅可买入"))</f>
        <v/>
      </c>
    </row>
    <row r="111">
      <c r="A111" s="19" t="n">
        <v>110</v>
      </c>
      <c r="B111" s="19" t="n"/>
      <c r="C111" s="35" t="n"/>
      <c r="D111" s="19" t="n"/>
      <c r="E111" s="35">
        <f>IF(B111="","",IF(D111&lt;=0,-C111*D111*2.5/10000,C111*D111*12.5/10000))</f>
        <v/>
      </c>
      <c r="F111" s="35">
        <f>IF(B111="","",C111*D111-E111)</f>
        <v/>
      </c>
      <c r="G111" s="19">
        <f>IF(B111="","",IF(COUNTIF(盘中持仓!B:B,B111),VLOOKUP(B111,盘中持仓!B:D,3,0),0))</f>
        <v/>
      </c>
      <c r="H111" s="35">
        <f>IF(B111="","",IF(G111&lt;&gt;0,IF(G111&gt;0,"","交易超限"),"该股票未持仓，仅可买入"))</f>
        <v/>
      </c>
    </row>
    <row r="112">
      <c r="A112" s="19" t="n">
        <v>111</v>
      </c>
      <c r="B112" s="19" t="n"/>
      <c r="C112" s="35" t="n"/>
      <c r="D112" s="19" t="n"/>
      <c r="E112" s="35">
        <f>IF(B112="","",IF(D112&lt;=0,-C112*D112*2.5/10000,C112*D112*12.5/10000))</f>
        <v/>
      </c>
      <c r="F112" s="35">
        <f>IF(B112="","",C112*D112-E112)</f>
        <v/>
      </c>
      <c r="G112" s="19">
        <f>IF(B112="","",IF(COUNTIF(盘中持仓!B:B,B112),VLOOKUP(B112,盘中持仓!B:D,3,0),0))</f>
        <v/>
      </c>
      <c r="H112" s="35">
        <f>IF(B112="","",IF(G112&lt;&gt;0,IF(G112&gt;0,"","交易超限"),"该股票未持仓，仅可买入"))</f>
        <v/>
      </c>
    </row>
    <row r="113">
      <c r="A113" s="19" t="n">
        <v>112</v>
      </c>
      <c r="B113" s="19" t="n"/>
      <c r="C113" s="35" t="n"/>
      <c r="D113" s="19" t="n"/>
      <c r="E113" s="35">
        <f>IF(B113="","",IF(D113&lt;=0,-C113*D113*2.5/10000,C113*D113*12.5/10000))</f>
        <v/>
      </c>
      <c r="F113" s="35">
        <f>IF(B113="","",C113*D113-E113)</f>
        <v/>
      </c>
      <c r="G113" s="19">
        <f>IF(B113="","",IF(COUNTIF(盘中持仓!B:B,B113),VLOOKUP(B113,盘中持仓!B:D,3,0),0))</f>
        <v/>
      </c>
      <c r="H113" s="35">
        <f>IF(B113="","",IF(G113&lt;&gt;0,IF(G113&gt;0,"","交易超限"),"该股票未持仓，仅可买入"))</f>
        <v/>
      </c>
    </row>
    <row r="114">
      <c r="A114" s="19" t="n">
        <v>113</v>
      </c>
      <c r="B114" s="19" t="n"/>
      <c r="C114" s="35" t="n"/>
      <c r="D114" s="19" t="n"/>
      <c r="E114" s="35">
        <f>IF(B114="","",IF(D114&lt;=0,-C114*D114*2.5/10000,C114*D114*12.5/10000))</f>
        <v/>
      </c>
      <c r="F114" s="35">
        <f>IF(B114="","",C114*D114-E114)</f>
        <v/>
      </c>
      <c r="G114" s="19">
        <f>IF(B114="","",IF(COUNTIF(盘中持仓!B:B,B114),VLOOKUP(B114,盘中持仓!B:D,3,0),0))</f>
        <v/>
      </c>
      <c r="H114" s="35">
        <f>IF(B114="","",IF(G114&lt;&gt;0,IF(G114&gt;0,"","交易超限"),"该股票未持仓，仅可买入"))</f>
        <v/>
      </c>
    </row>
    <row r="115">
      <c r="A115" s="19" t="n">
        <v>114</v>
      </c>
      <c r="B115" s="19" t="n"/>
      <c r="C115" s="35" t="n"/>
      <c r="D115" s="19" t="n"/>
      <c r="E115" s="35">
        <f>IF(B115="","",IF(D115&lt;=0,-C115*D115*2.5/10000,C115*D115*12.5/10000))</f>
        <v/>
      </c>
      <c r="F115" s="35">
        <f>IF(B115="","",C115*D115-E115)</f>
        <v/>
      </c>
      <c r="G115" s="19">
        <f>IF(B115="","",IF(COUNTIF(盘中持仓!B:B,B115),VLOOKUP(B115,盘中持仓!B:D,3,0),0))</f>
        <v/>
      </c>
      <c r="H115" s="35">
        <f>IF(B115="","",IF(G115&lt;&gt;0,IF(G115&gt;0,"","交易超限"),"该股票未持仓，仅可买入"))</f>
        <v/>
      </c>
    </row>
    <row r="116">
      <c r="A116" s="19" t="n">
        <v>115</v>
      </c>
      <c r="B116" s="19" t="n"/>
      <c r="C116" s="35" t="n"/>
      <c r="D116" s="19" t="n"/>
      <c r="E116" s="35">
        <f>IF(B116="","",IF(D116&lt;=0,-C116*D116*2.5/10000,C116*D116*12.5/10000))</f>
        <v/>
      </c>
      <c r="F116" s="35">
        <f>IF(B116="","",C116*D116-E116)</f>
        <v/>
      </c>
      <c r="G116" s="19">
        <f>IF(B116="","",IF(COUNTIF(盘中持仓!B:B,B116),VLOOKUP(B116,盘中持仓!B:D,3,0),0))</f>
        <v/>
      </c>
      <c r="H116" s="35">
        <f>IF(B116="","",IF(G116&lt;&gt;0,IF(G116&gt;0,"","交易超限"),"该股票未持仓，仅可买入"))</f>
        <v/>
      </c>
    </row>
    <row r="117">
      <c r="A117" s="19" t="n">
        <v>116</v>
      </c>
      <c r="B117" s="19" t="n"/>
      <c r="C117" s="35" t="n"/>
      <c r="D117" s="19" t="n"/>
      <c r="E117" s="35">
        <f>IF(B117="","",IF(D117&lt;=0,-C117*D117*2.5/10000,C117*D117*12.5/10000))</f>
        <v/>
      </c>
      <c r="F117" s="35">
        <f>IF(B117="","",C117*D117-E117)</f>
        <v/>
      </c>
      <c r="G117" s="19">
        <f>IF(B117="","",IF(COUNTIF(盘中持仓!B:B,B117),VLOOKUP(B117,盘中持仓!B:D,3,0),0))</f>
        <v/>
      </c>
      <c r="H117" s="35">
        <f>IF(B117="","",IF(G117&lt;&gt;0,IF(G117&gt;0,"","交易超限"),"该股票未持仓，仅可买入"))</f>
        <v/>
      </c>
    </row>
    <row r="118">
      <c r="A118" s="19" t="n">
        <v>117</v>
      </c>
      <c r="B118" s="19" t="n"/>
      <c r="C118" s="35" t="n"/>
      <c r="D118" s="19" t="n"/>
      <c r="E118" s="35">
        <f>IF(B118="","",IF(D118&lt;=0,-C118*D118*2.5/10000,C118*D118*12.5/10000))</f>
        <v/>
      </c>
      <c r="F118" s="35">
        <f>IF(B118="","",C118*D118-E118)</f>
        <v/>
      </c>
      <c r="G118" s="19">
        <f>IF(B118="","",IF(COUNTIF(盘中持仓!B:B,B118),VLOOKUP(B118,盘中持仓!B:D,3,0),0))</f>
        <v/>
      </c>
      <c r="H118" s="35">
        <f>IF(B118="","",IF(G118&lt;&gt;0,IF(G118&gt;0,"","交易超限"),"该股票未持仓，仅可买入"))</f>
        <v/>
      </c>
    </row>
    <row r="119">
      <c r="A119" s="19" t="n">
        <v>118</v>
      </c>
      <c r="B119" s="19" t="n"/>
      <c r="C119" s="35" t="n"/>
      <c r="D119" s="19" t="n"/>
      <c r="E119" s="35">
        <f>IF(B119="","",IF(D119&lt;=0,-C119*D119*2.5/10000,C119*D119*12.5/10000))</f>
        <v/>
      </c>
      <c r="F119" s="35">
        <f>IF(B119="","",C119*D119-E119)</f>
        <v/>
      </c>
      <c r="G119" s="19">
        <f>IF(B119="","",IF(COUNTIF(盘中持仓!B:B,B119),VLOOKUP(B119,盘中持仓!B:D,3,0),0))</f>
        <v/>
      </c>
      <c r="H119" s="35">
        <f>IF(B119="","",IF(G119&lt;&gt;0,IF(G119&gt;0,"","交易超限"),"该股票未持仓，仅可买入"))</f>
        <v/>
      </c>
    </row>
    <row r="120">
      <c r="A120" s="19" t="n">
        <v>119</v>
      </c>
      <c r="B120" s="19" t="n"/>
      <c r="C120" s="35" t="n"/>
      <c r="D120" s="19" t="n"/>
      <c r="E120" s="35">
        <f>IF(B120="","",IF(D120&lt;=0,-C120*D120*2.5/10000,C120*D120*12.5/10000))</f>
        <v/>
      </c>
      <c r="F120" s="35">
        <f>IF(B120="","",C120*D120-E120)</f>
        <v/>
      </c>
      <c r="G120" s="19">
        <f>IF(B120="","",IF(COUNTIF(盘中持仓!B:B,B120),VLOOKUP(B120,盘中持仓!B:D,3,0),0))</f>
        <v/>
      </c>
      <c r="H120" s="35">
        <f>IF(B120="","",IF(G120&lt;&gt;0,IF(G120&gt;0,"","交易超限"),"该股票未持仓，仅可买入"))</f>
        <v/>
      </c>
    </row>
    <row r="121">
      <c r="A121" s="19" t="n">
        <v>120</v>
      </c>
      <c r="B121" s="19" t="n"/>
      <c r="C121" s="35" t="n"/>
      <c r="D121" s="19" t="n"/>
      <c r="E121" s="35">
        <f>IF(B121="","",IF(D121&lt;=0,-C121*D121*2.5/10000,C121*D121*12.5/10000))</f>
        <v/>
      </c>
      <c r="F121" s="35">
        <f>IF(B121="","",C121*D121-E121)</f>
        <v/>
      </c>
      <c r="G121" s="19">
        <f>IF(B121="","",IF(COUNTIF(盘中持仓!B:B,B121),VLOOKUP(B121,盘中持仓!B:D,3,0),0))</f>
        <v/>
      </c>
      <c r="H121" s="35">
        <f>IF(B121="","",IF(G121&lt;&gt;0,IF(G121&gt;0,"","交易超限"),"该股票未持仓，仅可买入"))</f>
        <v/>
      </c>
    </row>
    <row r="122">
      <c r="A122" s="19" t="n">
        <v>121</v>
      </c>
      <c r="B122" s="19" t="n"/>
      <c r="C122" s="35" t="n"/>
      <c r="D122" s="19" t="n"/>
      <c r="E122" s="35">
        <f>IF(B122="","",IF(D122&lt;=0,-C122*D122*2.5/10000,C122*D122*12.5/10000))</f>
        <v/>
      </c>
      <c r="F122" s="35">
        <f>IF(B122="","",C122*D122-E122)</f>
        <v/>
      </c>
      <c r="G122" s="19">
        <f>IF(B122="","",IF(COUNTIF(盘中持仓!B:B,B122),VLOOKUP(B122,盘中持仓!B:D,3,0),0))</f>
        <v/>
      </c>
      <c r="H122" s="35">
        <f>IF(B122="","",IF(G122&lt;&gt;0,IF(G122&gt;0,"","交易超限"),"该股票未持仓，仅可买入"))</f>
        <v/>
      </c>
    </row>
    <row r="123">
      <c r="A123" s="19" t="n">
        <v>122</v>
      </c>
      <c r="B123" s="19" t="n"/>
      <c r="C123" s="35" t="n"/>
      <c r="D123" s="19" t="n"/>
      <c r="E123" s="35">
        <f>IF(B123="","",IF(D123&lt;=0,-C123*D123*2.5/10000,C123*D123*12.5/10000))</f>
        <v/>
      </c>
      <c r="F123" s="35">
        <f>IF(B123="","",C123*D123-E123)</f>
        <v/>
      </c>
      <c r="G123" s="19">
        <f>IF(B123="","",IF(COUNTIF(盘中持仓!B:B,B123),VLOOKUP(B123,盘中持仓!B:D,3,0),0))</f>
        <v/>
      </c>
      <c r="H123" s="35">
        <f>IF(B123="","",IF(G123&lt;&gt;0,IF(G123&gt;0,"","交易超限"),"该股票未持仓，仅可买入"))</f>
        <v/>
      </c>
    </row>
    <row r="124">
      <c r="A124" s="19" t="n">
        <v>123</v>
      </c>
      <c r="B124" s="19" t="n"/>
      <c r="C124" s="35" t="n"/>
      <c r="D124" s="19" t="n"/>
      <c r="E124" s="35">
        <f>IF(B124="","",IF(D124&lt;=0,-C124*D124*2.5/10000,C124*D124*12.5/10000))</f>
        <v/>
      </c>
      <c r="F124" s="35">
        <f>IF(B124="","",C124*D124-E124)</f>
        <v/>
      </c>
      <c r="G124" s="19">
        <f>IF(B124="","",IF(COUNTIF(盘中持仓!B:B,B124),VLOOKUP(B124,盘中持仓!B:D,3,0),0))</f>
        <v/>
      </c>
      <c r="H124" s="35">
        <f>IF(B124="","",IF(G124&lt;&gt;0,IF(G124&gt;0,"","交易超限"),"该股票未持仓，仅可买入"))</f>
        <v/>
      </c>
    </row>
    <row r="125">
      <c r="A125" s="19" t="n">
        <v>124</v>
      </c>
      <c r="B125" s="19" t="n"/>
      <c r="C125" s="35" t="n"/>
      <c r="D125" s="19" t="n"/>
      <c r="E125" s="35">
        <f>IF(B125="","",IF(D125&lt;=0,-C125*D125*2.5/10000,C125*D125*12.5/10000))</f>
        <v/>
      </c>
      <c r="F125" s="35">
        <f>IF(B125="","",C125*D125-E125)</f>
        <v/>
      </c>
      <c r="G125" s="19">
        <f>IF(B125="","",IF(COUNTIF(盘中持仓!B:B,B125),VLOOKUP(B125,盘中持仓!B:D,3,0),0))</f>
        <v/>
      </c>
      <c r="H125" s="35">
        <f>IF(B125="","",IF(G125&lt;&gt;0,IF(G125&gt;0,"","交易超限"),"该股票未持仓，仅可买入"))</f>
        <v/>
      </c>
    </row>
    <row r="126">
      <c r="A126" s="19" t="n">
        <v>125</v>
      </c>
      <c r="B126" s="19" t="n"/>
      <c r="C126" s="35" t="n"/>
      <c r="D126" s="19" t="n"/>
      <c r="E126" s="35">
        <f>IF(B126="","",IF(D126&lt;=0,-C126*D126*2.5/10000,C126*D126*12.5/10000))</f>
        <v/>
      </c>
      <c r="F126" s="35">
        <f>IF(B126="","",C126*D126-E126)</f>
        <v/>
      </c>
      <c r="G126" s="19">
        <f>IF(B126="","",IF(COUNTIF(盘中持仓!B:B,B126),VLOOKUP(B126,盘中持仓!B:D,3,0),0))</f>
        <v/>
      </c>
      <c r="H126" s="35">
        <f>IF(B126="","",IF(G126&lt;&gt;0,IF(G126&gt;0,"","交易超限"),"该股票未持仓，仅可买入"))</f>
        <v/>
      </c>
    </row>
    <row r="127">
      <c r="A127" s="19" t="n">
        <v>126</v>
      </c>
      <c r="B127" s="19" t="n"/>
      <c r="C127" s="35" t="n"/>
      <c r="D127" s="19" t="n"/>
      <c r="E127" s="35">
        <f>IF(B127="","",IF(D127&lt;=0,-C127*D127*2.5/10000,C127*D127*12.5/10000))</f>
        <v/>
      </c>
      <c r="F127" s="35">
        <f>IF(B127="","",C127*D127-E127)</f>
        <v/>
      </c>
      <c r="G127" s="19">
        <f>IF(B127="","",IF(COUNTIF(盘中持仓!B:B,B127),VLOOKUP(B127,盘中持仓!B:D,3,0),0))</f>
        <v/>
      </c>
      <c r="H127" s="35">
        <f>IF(B127="","",IF(G127&lt;&gt;0,IF(G127&gt;0,"","交易超限"),"该股票未持仓，仅可买入"))</f>
        <v/>
      </c>
    </row>
    <row r="128">
      <c r="A128" s="19" t="n">
        <v>127</v>
      </c>
      <c r="B128" s="19" t="n"/>
      <c r="C128" s="35" t="n"/>
      <c r="D128" s="19" t="n"/>
      <c r="E128" s="35">
        <f>IF(B128="","",IF(D128&lt;=0,-C128*D128*2.5/10000,C128*D128*12.5/10000))</f>
        <v/>
      </c>
      <c r="F128" s="35">
        <f>IF(B128="","",C128*D128-E128)</f>
        <v/>
      </c>
      <c r="G128" s="19">
        <f>IF(B128="","",IF(COUNTIF(盘中持仓!B:B,B128),VLOOKUP(B128,盘中持仓!B:D,3,0),0))</f>
        <v/>
      </c>
      <c r="H128" s="35">
        <f>IF(B128="","",IF(G128&lt;&gt;0,IF(G128&gt;0,"","交易超限"),"该股票未持仓，仅可买入"))</f>
        <v/>
      </c>
    </row>
    <row r="129">
      <c r="A129" s="19" t="n">
        <v>128</v>
      </c>
      <c r="B129" s="19" t="n"/>
      <c r="C129" s="35" t="n"/>
      <c r="D129" s="19" t="n"/>
      <c r="E129" s="35">
        <f>IF(B129="","",IF(D129&lt;=0,-C129*D129*2.5/10000,C129*D129*12.5/10000))</f>
        <v/>
      </c>
      <c r="F129" s="35">
        <f>IF(B129="","",C129*D129-E129)</f>
        <v/>
      </c>
      <c r="G129" s="19">
        <f>IF(B129="","",IF(COUNTIF(盘中持仓!B:B,B129),VLOOKUP(B129,盘中持仓!B:D,3,0),0))</f>
        <v/>
      </c>
      <c r="H129" s="35">
        <f>IF(B129="","",IF(G129&lt;&gt;0,IF(G129&gt;0,"","交易超限"),"该股票未持仓，仅可买入"))</f>
        <v/>
      </c>
    </row>
    <row r="130">
      <c r="A130" s="19" t="n">
        <v>129</v>
      </c>
      <c r="B130" s="19" t="n"/>
      <c r="C130" s="35" t="n"/>
      <c r="D130" s="19" t="n"/>
      <c r="E130" s="35">
        <f>IF(B130="","",IF(D130&lt;=0,-C130*D130*2.5/10000,C130*D130*12.5/10000))</f>
        <v/>
      </c>
      <c r="F130" s="35">
        <f>IF(B130="","",C130*D130-E130)</f>
        <v/>
      </c>
      <c r="G130" s="19">
        <f>IF(B130="","",IF(COUNTIF(盘中持仓!B:B,B130),VLOOKUP(B130,盘中持仓!B:D,3,0),0))</f>
        <v/>
      </c>
      <c r="H130" s="35">
        <f>IF(B130="","",IF(G130&lt;&gt;0,IF(G130&gt;0,"","交易超限"),"该股票未持仓，仅可买入"))</f>
        <v/>
      </c>
    </row>
    <row r="131">
      <c r="A131" s="19" t="n">
        <v>130</v>
      </c>
      <c r="B131" s="19" t="n"/>
      <c r="C131" s="35" t="n"/>
      <c r="D131" s="19" t="n"/>
      <c r="E131" s="35">
        <f>IF(B131="","",IF(D131&lt;=0,-C131*D131*2.5/10000,C131*D131*12.5/10000))</f>
        <v/>
      </c>
      <c r="F131" s="35">
        <f>IF(B131="","",C131*D131-E131)</f>
        <v/>
      </c>
      <c r="G131" s="19">
        <f>IF(B131="","",IF(COUNTIF(盘中持仓!B:B,B131),VLOOKUP(B131,盘中持仓!B:D,3,0),0))</f>
        <v/>
      </c>
      <c r="H131" s="35">
        <f>IF(B131="","",IF(G131&lt;&gt;0,IF(G131&gt;0,"","交易超限"),"该股票未持仓，仅可买入"))</f>
        <v/>
      </c>
    </row>
    <row r="132">
      <c r="A132" s="19" t="n">
        <v>131</v>
      </c>
      <c r="B132" s="19" t="n"/>
      <c r="C132" s="35" t="n"/>
      <c r="D132" s="19" t="n"/>
      <c r="E132" s="35">
        <f>IF(B132="","",IF(D132&lt;=0,-C132*D132*2.5/10000,C132*D132*12.5/10000))</f>
        <v/>
      </c>
      <c r="F132" s="35">
        <f>IF(B132="","",C132*D132-E132)</f>
        <v/>
      </c>
      <c r="G132" s="19">
        <f>IF(B132="","",IF(COUNTIF(盘中持仓!B:B,B132),VLOOKUP(B132,盘中持仓!B:D,3,0),0))</f>
        <v/>
      </c>
      <c r="H132" s="35">
        <f>IF(B132="","",IF(G132&lt;&gt;0,IF(G132&gt;0,"","交易超限"),"该股票未持仓，仅可买入"))</f>
        <v/>
      </c>
    </row>
    <row r="133">
      <c r="A133" s="19" t="n">
        <v>132</v>
      </c>
      <c r="B133" s="19" t="n"/>
      <c r="C133" s="35" t="n"/>
      <c r="D133" s="19" t="n"/>
      <c r="E133" s="35">
        <f>IF(B133="","",IF(D133&lt;=0,-C133*D133*2.5/10000,C133*D133*12.5/10000))</f>
        <v/>
      </c>
      <c r="F133" s="35">
        <f>IF(B133="","",C133*D133-E133)</f>
        <v/>
      </c>
      <c r="G133" s="19">
        <f>IF(B133="","",IF(COUNTIF(盘中持仓!B:B,B133),VLOOKUP(B133,盘中持仓!B:D,3,0),0))</f>
        <v/>
      </c>
      <c r="H133" s="35">
        <f>IF(B133="","",IF(G133&lt;&gt;0,IF(G133&gt;0,"","交易超限"),"该股票未持仓，仅可买入"))</f>
        <v/>
      </c>
    </row>
    <row r="134">
      <c r="A134" s="19" t="n">
        <v>133</v>
      </c>
      <c r="B134" s="19" t="n"/>
      <c r="C134" s="35" t="n"/>
      <c r="D134" s="19" t="n"/>
      <c r="E134" s="35">
        <f>IF(B134="","",IF(D134&lt;=0,-C134*D134*2.5/10000,C134*D134*12.5/10000))</f>
        <v/>
      </c>
      <c r="F134" s="35">
        <f>IF(B134="","",C134*D134-E134)</f>
        <v/>
      </c>
      <c r="G134" s="19">
        <f>IF(B134="","",IF(COUNTIF(盘中持仓!B:B,B134),VLOOKUP(B134,盘中持仓!B:D,3,0),0))</f>
        <v/>
      </c>
      <c r="H134" s="35">
        <f>IF(B134="","",IF(G134&lt;&gt;0,IF(G134&gt;0,"","交易超限"),"该股票未持仓，仅可买入"))</f>
        <v/>
      </c>
    </row>
    <row r="135">
      <c r="A135" s="19" t="n">
        <v>134</v>
      </c>
      <c r="B135" s="19" t="n"/>
      <c r="C135" s="35" t="n"/>
      <c r="D135" s="19" t="n"/>
      <c r="E135" s="35">
        <f>IF(B135="","",IF(D135&lt;=0,-C135*D135*2.5/10000,C135*D135*12.5/10000))</f>
        <v/>
      </c>
      <c r="F135" s="35">
        <f>IF(B135="","",C135*D135-E135)</f>
        <v/>
      </c>
      <c r="G135" s="19">
        <f>IF(B135="","",IF(COUNTIF(盘中持仓!B:B,B135),VLOOKUP(B135,盘中持仓!B:D,3,0),0))</f>
        <v/>
      </c>
      <c r="H135" s="35">
        <f>IF(B135="","",IF(G135&lt;&gt;0,IF(G135&gt;0,"","交易超限"),"该股票未持仓，仅可买入"))</f>
        <v/>
      </c>
    </row>
    <row r="136">
      <c r="A136" s="19" t="n">
        <v>135</v>
      </c>
      <c r="B136" s="19" t="n"/>
      <c r="C136" s="35" t="n"/>
      <c r="D136" s="19" t="n"/>
      <c r="E136" s="35">
        <f>IF(B136="","",IF(D136&lt;=0,-C136*D136*2.5/10000,C136*D136*12.5/10000))</f>
        <v/>
      </c>
      <c r="F136" s="35">
        <f>IF(B136="","",C136*D136-E136)</f>
        <v/>
      </c>
      <c r="G136" s="19">
        <f>IF(B136="","",IF(COUNTIF(盘中持仓!B:B,B136),VLOOKUP(B136,盘中持仓!B:D,3,0),0))</f>
        <v/>
      </c>
      <c r="H136" s="35">
        <f>IF(B136="","",IF(G136&lt;&gt;0,IF(G136&gt;0,"","交易超限"),"该股票未持仓，仅可买入"))</f>
        <v/>
      </c>
    </row>
    <row r="137">
      <c r="A137" s="19" t="n">
        <v>136</v>
      </c>
      <c r="B137" s="19" t="n"/>
      <c r="C137" s="35" t="n"/>
      <c r="D137" s="19" t="n"/>
      <c r="E137" s="35">
        <f>IF(B137="","",IF(D137&lt;=0,-C137*D137*2.5/10000,C137*D137*12.5/10000))</f>
        <v/>
      </c>
      <c r="F137" s="35">
        <f>IF(B137="","",C137*D137-E137)</f>
        <v/>
      </c>
      <c r="G137" s="19">
        <f>IF(B137="","",IF(COUNTIF(盘中持仓!B:B,B137),VLOOKUP(B137,盘中持仓!B:D,3,0),0))</f>
        <v/>
      </c>
      <c r="H137" s="35">
        <f>IF(B137="","",IF(G137&lt;&gt;0,IF(G137&gt;0,"","交易超限"),"该股票未持仓，仅可买入"))</f>
        <v/>
      </c>
    </row>
    <row r="138">
      <c r="A138" s="19" t="n">
        <v>137</v>
      </c>
      <c r="B138" s="19" t="n"/>
      <c r="C138" s="35" t="n"/>
      <c r="D138" s="19" t="n"/>
      <c r="E138" s="35">
        <f>IF(B138="","",IF(D138&lt;=0,-C138*D138*2.5/10000,C138*D138*12.5/10000))</f>
        <v/>
      </c>
      <c r="F138" s="35">
        <f>IF(B138="","",C138*D138-E138)</f>
        <v/>
      </c>
      <c r="G138" s="19">
        <f>IF(B138="","",IF(COUNTIF(盘中持仓!B:B,B138),VLOOKUP(B138,盘中持仓!B:D,3,0),0))</f>
        <v/>
      </c>
      <c r="H138" s="35">
        <f>IF(B138="","",IF(G138&lt;&gt;0,IF(G138&gt;0,"","交易超限"),"该股票未持仓，仅可买入"))</f>
        <v/>
      </c>
    </row>
    <row r="139">
      <c r="A139" s="19" t="n">
        <v>138</v>
      </c>
      <c r="B139" s="19" t="n"/>
      <c r="C139" s="35" t="n"/>
      <c r="D139" s="19" t="n"/>
      <c r="E139" s="35">
        <f>IF(B139="","",IF(D139&lt;=0,-C139*D139*2.5/10000,C139*D139*12.5/10000))</f>
        <v/>
      </c>
      <c r="F139" s="35">
        <f>IF(B139="","",C139*D139-E139)</f>
        <v/>
      </c>
      <c r="G139" s="19">
        <f>IF(B139="","",IF(COUNTIF(盘中持仓!B:B,B139),VLOOKUP(B139,盘中持仓!B:D,3,0),0))</f>
        <v/>
      </c>
      <c r="H139" s="35">
        <f>IF(B139="","",IF(G139&lt;&gt;0,IF(G139&gt;0,"","交易超限"),"该股票未持仓，仅可买入"))</f>
        <v/>
      </c>
    </row>
    <row r="140">
      <c r="A140" s="19" t="n">
        <v>139</v>
      </c>
      <c r="B140" s="19" t="n"/>
      <c r="C140" s="35" t="n"/>
      <c r="D140" s="19" t="n"/>
      <c r="E140" s="35">
        <f>IF(B140="","",IF(D140&lt;=0,-C140*D140*2.5/10000,C140*D140*12.5/10000))</f>
        <v/>
      </c>
      <c r="F140" s="35">
        <f>IF(B140="","",C140*D140-E140)</f>
        <v/>
      </c>
      <c r="G140" s="19">
        <f>IF(B140="","",IF(COUNTIF(盘中持仓!B:B,B140),VLOOKUP(B140,盘中持仓!B:D,3,0),0))</f>
        <v/>
      </c>
      <c r="H140" s="35">
        <f>IF(B140="","",IF(G140&lt;&gt;0,IF(G140&gt;0,"","交易超限"),"该股票未持仓，仅可买入"))</f>
        <v/>
      </c>
    </row>
    <row r="141">
      <c r="A141" s="19" t="n">
        <v>140</v>
      </c>
      <c r="B141" s="19" t="n"/>
      <c r="C141" s="35" t="n"/>
      <c r="D141" s="19" t="n"/>
      <c r="E141" s="35">
        <f>IF(B141="","",IF(D141&lt;=0,-C141*D141*2.5/10000,C141*D141*12.5/10000))</f>
        <v/>
      </c>
      <c r="F141" s="35">
        <f>IF(B141="","",C141*D141-E141)</f>
        <v/>
      </c>
      <c r="G141" s="19">
        <f>IF(B141="","",IF(COUNTIF(盘中持仓!B:B,B141),VLOOKUP(B141,盘中持仓!B:D,3,0),0))</f>
        <v/>
      </c>
      <c r="H141" s="35">
        <f>IF(B141="","",IF(G141&lt;&gt;0,IF(G141&gt;0,"","交易超限"),"该股票未持仓，仅可买入"))</f>
        <v/>
      </c>
    </row>
    <row r="142">
      <c r="A142" s="19" t="n">
        <v>141</v>
      </c>
      <c r="B142" s="19" t="n"/>
      <c r="C142" s="35" t="n"/>
      <c r="D142" s="19" t="n"/>
      <c r="E142" s="35">
        <f>IF(B142="","",IF(D142&lt;=0,-C142*D142*2.5/10000,C142*D142*12.5/10000))</f>
        <v/>
      </c>
      <c r="F142" s="35">
        <f>IF(B142="","",C142*D142-E142)</f>
        <v/>
      </c>
      <c r="G142" s="19">
        <f>IF(B142="","",IF(COUNTIF(盘中持仓!B:B,B142),VLOOKUP(B142,盘中持仓!B:D,3,0),0))</f>
        <v/>
      </c>
      <c r="H142" s="35">
        <f>IF(B142="","",IF(G142&lt;&gt;0,IF(G142&gt;0,"","交易超限"),"该股票未持仓，仅可买入"))</f>
        <v/>
      </c>
    </row>
    <row r="143">
      <c r="A143" s="19" t="n">
        <v>142</v>
      </c>
      <c r="B143" s="19" t="n"/>
      <c r="C143" s="35" t="n"/>
      <c r="D143" s="19" t="n"/>
      <c r="E143" s="35">
        <f>IF(B143="","",IF(D143&lt;=0,-C143*D143*2.5/10000,C143*D143*12.5/10000))</f>
        <v/>
      </c>
      <c r="F143" s="35">
        <f>IF(B143="","",C143*D143-E143)</f>
        <v/>
      </c>
      <c r="G143" s="19">
        <f>IF(B143="","",IF(COUNTIF(盘中持仓!B:B,B143),VLOOKUP(B143,盘中持仓!B:D,3,0),0))</f>
        <v/>
      </c>
      <c r="H143" s="35">
        <f>IF(B143="","",IF(G143&lt;&gt;0,IF(G143&gt;0,"","交易超限"),"该股票未持仓，仅可买入"))</f>
        <v/>
      </c>
    </row>
    <row r="144">
      <c r="A144" s="19" t="n">
        <v>143</v>
      </c>
      <c r="B144" s="19" t="n"/>
      <c r="C144" s="35" t="n"/>
      <c r="D144" s="19" t="n"/>
      <c r="E144" s="35">
        <f>IF(B144="","",IF(D144&lt;=0,-C144*D144*2.5/10000,C144*D144*12.5/10000))</f>
        <v/>
      </c>
      <c r="F144" s="35">
        <f>IF(B144="","",C144*D144-E144)</f>
        <v/>
      </c>
      <c r="G144" s="19">
        <f>IF(B144="","",IF(COUNTIF(盘中持仓!B:B,B144),VLOOKUP(B144,盘中持仓!B:D,3,0),0))</f>
        <v/>
      </c>
      <c r="H144" s="35">
        <f>IF(B144="","",IF(G144&lt;&gt;0,IF(G144&gt;0,"","交易超限"),"该股票未持仓，仅可买入"))</f>
        <v/>
      </c>
    </row>
    <row r="145">
      <c r="A145" s="19" t="n">
        <v>144</v>
      </c>
      <c r="B145" s="19" t="n"/>
      <c r="C145" s="35" t="n"/>
      <c r="D145" s="19" t="n"/>
      <c r="E145" s="35">
        <f>IF(B145="","",IF(D145&lt;=0,-C145*D145*2.5/10000,C145*D145*12.5/10000))</f>
        <v/>
      </c>
      <c r="F145" s="35">
        <f>IF(B145="","",C145*D145-E145)</f>
        <v/>
      </c>
      <c r="G145" s="19">
        <f>IF(B145="","",IF(COUNTIF(盘中持仓!B:B,B145),VLOOKUP(B145,盘中持仓!B:D,3,0),0))</f>
        <v/>
      </c>
      <c r="H145" s="35">
        <f>IF(B145="","",IF(G145&lt;&gt;0,IF(G145&gt;0,"","交易超限"),"该股票未持仓，仅可买入"))</f>
        <v/>
      </c>
    </row>
    <row r="146">
      <c r="A146" s="19" t="n">
        <v>145</v>
      </c>
      <c r="B146" s="19" t="n"/>
      <c r="C146" s="35" t="n"/>
      <c r="D146" s="19" t="n"/>
      <c r="E146" s="35">
        <f>IF(B146="","",IF(D146&lt;=0,-C146*D146*2.5/10000,C146*D146*12.5/10000))</f>
        <v/>
      </c>
      <c r="F146" s="35">
        <f>IF(B146="","",C146*D146-E146)</f>
        <v/>
      </c>
      <c r="G146" s="19">
        <f>IF(B146="","",IF(COUNTIF(盘中持仓!B:B,B146),VLOOKUP(B146,盘中持仓!B:D,3,0),0))</f>
        <v/>
      </c>
      <c r="H146" s="35">
        <f>IF(B146="","",IF(G146&lt;&gt;0,IF(G146&gt;0,"","交易超限"),"该股票未持仓，仅可买入"))</f>
        <v/>
      </c>
    </row>
    <row r="147">
      <c r="A147" s="19" t="n">
        <v>146</v>
      </c>
      <c r="B147" s="19" t="n"/>
      <c r="C147" s="35" t="n"/>
      <c r="D147" s="19" t="n"/>
      <c r="E147" s="35">
        <f>IF(B147="","",IF(D147&lt;=0,-C147*D147*2.5/10000,C147*D147*12.5/10000))</f>
        <v/>
      </c>
      <c r="F147" s="35">
        <f>IF(B147="","",C147*D147-E147)</f>
        <v/>
      </c>
      <c r="G147" s="19">
        <f>IF(B147="","",IF(COUNTIF(盘中持仓!B:B,B147),VLOOKUP(B147,盘中持仓!B:D,3,0),0))</f>
        <v/>
      </c>
      <c r="H147" s="35">
        <f>IF(B147="","",IF(G147&lt;&gt;0,IF(G147&gt;0,"","交易超限"),"该股票未持仓，仅可买入"))</f>
        <v/>
      </c>
    </row>
    <row r="148">
      <c r="A148" s="19" t="n">
        <v>147</v>
      </c>
      <c r="B148" s="19" t="n"/>
      <c r="C148" s="35" t="n"/>
      <c r="D148" s="19" t="n"/>
      <c r="E148" s="35">
        <f>IF(B148="","",IF(D148&lt;=0,-C148*D148*2.5/10000,C148*D148*12.5/10000))</f>
        <v/>
      </c>
      <c r="F148" s="35">
        <f>IF(B148="","",C148*D148-E148)</f>
        <v/>
      </c>
      <c r="G148" s="19">
        <f>IF(B148="","",IF(COUNTIF(盘中持仓!B:B,B148),VLOOKUP(B148,盘中持仓!B:D,3,0),0))</f>
        <v/>
      </c>
      <c r="H148" s="35">
        <f>IF(B148="","",IF(G148&lt;&gt;0,IF(G148&gt;0,"","交易超限"),"该股票未持仓，仅可买入"))</f>
        <v/>
      </c>
    </row>
    <row r="149">
      <c r="A149" s="19" t="n">
        <v>148</v>
      </c>
      <c r="B149" s="19" t="n"/>
      <c r="C149" s="35" t="n"/>
      <c r="D149" s="19" t="n"/>
      <c r="E149" s="35">
        <f>IF(B149="","",IF(D149&lt;=0,-C149*D149*2.5/10000,C149*D149*12.5/10000))</f>
        <v/>
      </c>
      <c r="F149" s="35">
        <f>IF(B149="","",C149*D149-E149)</f>
        <v/>
      </c>
      <c r="G149" s="19">
        <f>IF(B149="","",IF(COUNTIF(盘中持仓!B:B,B149),VLOOKUP(B149,盘中持仓!B:D,3,0),0))</f>
        <v/>
      </c>
      <c r="H149" s="35">
        <f>IF(B149="","",IF(G149&lt;&gt;0,IF(G149&gt;0,"","交易超限"),"该股票未持仓，仅可买入"))</f>
        <v/>
      </c>
    </row>
    <row r="150">
      <c r="A150" s="19" t="n">
        <v>149</v>
      </c>
      <c r="B150" s="19" t="n"/>
      <c r="C150" s="35" t="n"/>
      <c r="D150" s="19" t="n"/>
      <c r="E150" s="35">
        <f>IF(B150="","",IF(D150&lt;=0,-C150*D150*2.5/10000,C150*D150*12.5/10000))</f>
        <v/>
      </c>
      <c r="F150" s="35">
        <f>IF(B150="","",C150*D150-E150)</f>
        <v/>
      </c>
      <c r="G150" s="19">
        <f>IF(B150="","",IF(COUNTIF(盘中持仓!B:B,B150),VLOOKUP(B150,盘中持仓!B:D,3,0),0))</f>
        <v/>
      </c>
      <c r="H150" s="35">
        <f>IF(B150="","",IF(G150&lt;&gt;0,IF(G150&gt;0,"","交易超限"),"该股票未持仓，仅可买入"))</f>
        <v/>
      </c>
    </row>
    <row r="151">
      <c r="A151" s="19" t="n">
        <v>150</v>
      </c>
      <c r="B151" s="19" t="n"/>
      <c r="C151" s="35" t="n"/>
      <c r="D151" s="19" t="n"/>
      <c r="E151" s="35">
        <f>IF(B151="","",IF(D151&lt;=0,-C151*D151*2.5/10000,C151*D151*12.5/10000))</f>
        <v/>
      </c>
      <c r="F151" s="35">
        <f>IF(B151="","",C151*D151-E151)</f>
        <v/>
      </c>
      <c r="G151" s="19">
        <f>IF(B151="","",IF(COUNTIF(盘中持仓!B:B,B151),VLOOKUP(B151,盘中持仓!B:D,3,0),0))</f>
        <v/>
      </c>
      <c r="H151" s="35">
        <f>IF(B151="","",IF(G151&lt;&gt;0,IF(G151&gt;0,"","交易超限"),"该股票未持仓，仅可买入"))</f>
        <v/>
      </c>
    </row>
    <row r="152">
      <c r="A152" s="19" t="n">
        <v>151</v>
      </c>
      <c r="B152" s="19" t="n"/>
      <c r="C152" s="35" t="n"/>
      <c r="D152" s="19" t="n"/>
      <c r="E152" s="35">
        <f>IF(B152="","",IF(D152&lt;=0,-C152*D152*2.5/10000,C152*D152*12.5/10000))</f>
        <v/>
      </c>
      <c r="F152" s="35">
        <f>IF(B152="","",C152*D152-E152)</f>
        <v/>
      </c>
      <c r="G152" s="19">
        <f>IF(B152="","",IF(COUNTIF(盘中持仓!B:B,B152),VLOOKUP(B152,盘中持仓!B:D,3,0),0))</f>
        <v/>
      </c>
      <c r="H152" s="35">
        <f>IF(B152="","",IF(G152&lt;&gt;0,IF(G152&gt;0,"","交易超限"),"该股票未持仓，仅可买入"))</f>
        <v/>
      </c>
    </row>
    <row r="153">
      <c r="A153" s="19" t="n">
        <v>152</v>
      </c>
      <c r="B153" s="19" t="n"/>
      <c r="C153" s="35" t="n"/>
      <c r="D153" s="19" t="n"/>
      <c r="E153" s="35">
        <f>IF(B153="","",IF(D153&lt;=0,-C153*D153*2.5/10000,C153*D153*12.5/10000))</f>
        <v/>
      </c>
      <c r="F153" s="35">
        <f>IF(B153="","",C153*D153-E153)</f>
        <v/>
      </c>
      <c r="G153" s="19">
        <f>IF(B153="","",IF(COUNTIF(盘中持仓!B:B,B153),VLOOKUP(B153,盘中持仓!B:D,3,0),0))</f>
        <v/>
      </c>
      <c r="H153" s="35">
        <f>IF(B153="","",IF(G153&lt;&gt;0,IF(G153&gt;0,"","交易超限"),"该股票未持仓，仅可买入"))</f>
        <v/>
      </c>
    </row>
    <row r="154">
      <c r="A154" s="19" t="n">
        <v>153</v>
      </c>
      <c r="B154" s="19" t="n"/>
      <c r="C154" s="35" t="n"/>
      <c r="D154" s="19" t="n"/>
      <c r="E154" s="35">
        <f>IF(B154="","",IF(D154&lt;=0,-C154*D154*2.5/10000,C154*D154*12.5/10000))</f>
        <v/>
      </c>
      <c r="F154" s="35">
        <f>IF(B154="","",C154*D154-E154)</f>
        <v/>
      </c>
      <c r="G154" s="19">
        <f>IF(B154="","",IF(COUNTIF(盘中持仓!B:B,B154),VLOOKUP(B154,盘中持仓!B:D,3,0),0))</f>
        <v/>
      </c>
      <c r="H154" s="35">
        <f>IF(B154="","",IF(G154&lt;&gt;0,IF(G154&gt;0,"","交易超限"),"该股票未持仓，仅可买入"))</f>
        <v/>
      </c>
    </row>
    <row r="155">
      <c r="A155" s="19" t="n">
        <v>154</v>
      </c>
      <c r="B155" s="19" t="n"/>
      <c r="C155" s="35" t="n"/>
      <c r="D155" s="19" t="n"/>
      <c r="E155" s="35">
        <f>IF(B155="","",IF(D155&lt;=0,-C155*D155*2.5/10000,C155*D155*12.5/10000))</f>
        <v/>
      </c>
      <c r="F155" s="35">
        <f>IF(B155="","",C155*D155-E155)</f>
        <v/>
      </c>
      <c r="G155" s="19">
        <f>IF(B155="","",IF(COUNTIF(盘中持仓!B:B,B155),VLOOKUP(B155,盘中持仓!B:D,3,0),0))</f>
        <v/>
      </c>
      <c r="H155" s="35">
        <f>IF(B155="","",IF(G155&lt;&gt;0,IF(G155&gt;0,"","交易超限"),"该股票未持仓，仅可买入"))</f>
        <v/>
      </c>
    </row>
    <row r="156">
      <c r="A156" s="19" t="n">
        <v>155</v>
      </c>
      <c r="B156" s="19" t="n"/>
      <c r="C156" s="35" t="n"/>
      <c r="D156" s="19" t="n"/>
      <c r="E156" s="35">
        <f>IF(B156="","",IF(D156&lt;=0,-C156*D156*2.5/10000,C156*D156*12.5/10000))</f>
        <v/>
      </c>
      <c r="F156" s="35">
        <f>IF(B156="","",C156*D156-E156)</f>
        <v/>
      </c>
      <c r="G156" s="19">
        <f>IF(B156="","",IF(COUNTIF(盘中持仓!B:B,B156),VLOOKUP(B156,盘中持仓!B:D,3,0),0))</f>
        <v/>
      </c>
      <c r="H156" s="35">
        <f>IF(B156="","",IF(G156&lt;&gt;0,IF(G156&gt;0,"","交易超限"),"该股票未持仓，仅可买入"))</f>
        <v/>
      </c>
    </row>
    <row r="157">
      <c r="A157" s="19" t="n">
        <v>156</v>
      </c>
      <c r="B157" s="19" t="n"/>
      <c r="C157" s="35" t="n"/>
      <c r="D157" s="19" t="n"/>
      <c r="E157" s="35">
        <f>IF(B157="","",IF(D157&lt;=0,-C157*D157*2.5/10000,C157*D157*12.5/10000))</f>
        <v/>
      </c>
      <c r="F157" s="35">
        <f>IF(B157="","",C157*D157-E157)</f>
        <v/>
      </c>
      <c r="G157" s="19">
        <f>IF(B157="","",IF(COUNTIF(盘中持仓!B:B,B157),VLOOKUP(B157,盘中持仓!B:D,3,0),0))</f>
        <v/>
      </c>
      <c r="H157" s="35">
        <f>IF(B157="","",IF(G157&lt;&gt;0,IF(G157&gt;0,"","交易超限"),"该股票未持仓，仅可买入"))</f>
        <v/>
      </c>
    </row>
    <row r="158">
      <c r="A158" s="19" t="n">
        <v>157</v>
      </c>
      <c r="B158" s="19" t="n"/>
      <c r="C158" s="35" t="n"/>
      <c r="D158" s="19" t="n"/>
      <c r="E158" s="35">
        <f>IF(B158="","",IF(D158&lt;=0,-C158*D158*2.5/10000,C158*D158*12.5/10000))</f>
        <v/>
      </c>
      <c r="F158" s="35">
        <f>IF(B158="","",C158*D158-E158)</f>
        <v/>
      </c>
      <c r="G158" s="19">
        <f>IF(B158="","",IF(COUNTIF(盘中持仓!B:B,B158),VLOOKUP(B158,盘中持仓!B:D,3,0),0))</f>
        <v/>
      </c>
      <c r="H158" s="35">
        <f>IF(B158="","",IF(G158&lt;&gt;0,IF(G158&gt;0,"","交易超限"),"该股票未持仓，仅可买入"))</f>
        <v/>
      </c>
    </row>
    <row r="159">
      <c r="A159" s="19" t="n">
        <v>158</v>
      </c>
      <c r="B159" s="19" t="n"/>
      <c r="C159" s="35" t="n"/>
      <c r="D159" s="19" t="n"/>
      <c r="E159" s="35">
        <f>IF(B159="","",IF(D159&lt;=0,-C159*D159*2.5/10000,C159*D159*12.5/10000))</f>
        <v/>
      </c>
      <c r="F159" s="35">
        <f>IF(B159="","",C159*D159-E159)</f>
        <v/>
      </c>
      <c r="G159" s="19">
        <f>IF(B159="","",IF(COUNTIF(盘中持仓!B:B,B159),VLOOKUP(B159,盘中持仓!B:D,3,0),0))</f>
        <v/>
      </c>
      <c r="H159" s="35">
        <f>IF(B159="","",IF(G159&lt;&gt;0,IF(G159&gt;0,"","交易超限"),"该股票未持仓，仅可买入"))</f>
        <v/>
      </c>
    </row>
    <row r="160">
      <c r="A160" s="19" t="n">
        <v>159</v>
      </c>
      <c r="B160" s="19" t="n"/>
      <c r="C160" s="35" t="n"/>
      <c r="D160" s="19" t="n"/>
      <c r="E160" s="35">
        <f>IF(B160="","",IF(D160&lt;=0,-C160*D160*2.5/10000,C160*D160*12.5/10000))</f>
        <v/>
      </c>
      <c r="F160" s="35">
        <f>IF(B160="","",C160*D160-E160)</f>
        <v/>
      </c>
      <c r="G160" s="19">
        <f>IF(B160="","",IF(COUNTIF(盘中持仓!B:B,B160),VLOOKUP(B160,盘中持仓!B:D,3,0),0))</f>
        <v/>
      </c>
      <c r="H160" s="35">
        <f>IF(B160="","",IF(G160&lt;&gt;0,IF(G160&gt;0,"","交易超限"),"该股票未持仓，仅可买入"))</f>
        <v/>
      </c>
    </row>
    <row r="161">
      <c r="A161" s="19" t="n">
        <v>160</v>
      </c>
      <c r="B161" s="19" t="n"/>
      <c r="C161" s="35" t="n"/>
      <c r="D161" s="19" t="n"/>
      <c r="E161" s="35">
        <f>IF(B161="","",IF(D161&lt;=0,-C161*D161*2.5/10000,C161*D161*12.5/10000))</f>
        <v/>
      </c>
      <c r="F161" s="35">
        <f>IF(B161="","",C161*D161-E161)</f>
        <v/>
      </c>
      <c r="G161" s="19">
        <f>IF(B161="","",IF(COUNTIF(盘中持仓!B:B,B161),VLOOKUP(B161,盘中持仓!B:D,3,0),0))</f>
        <v/>
      </c>
      <c r="H161" s="35">
        <f>IF(B161="","",IF(G161&lt;&gt;0,IF(G161&gt;0,"","交易超限"),"该股票未持仓，仅可买入"))</f>
        <v/>
      </c>
    </row>
    <row r="162">
      <c r="A162" s="19" t="n">
        <v>161</v>
      </c>
      <c r="B162" s="19" t="n"/>
      <c r="C162" s="35" t="n"/>
      <c r="D162" s="19" t="n"/>
      <c r="E162" s="35">
        <f>IF(B162="","",IF(D162&lt;=0,-C162*D162*2.5/10000,C162*D162*12.5/10000))</f>
        <v/>
      </c>
      <c r="F162" s="35">
        <f>IF(B162="","",C162*D162-E162)</f>
        <v/>
      </c>
      <c r="G162" s="19">
        <f>IF(B162="","",IF(COUNTIF(盘中持仓!B:B,B162),VLOOKUP(B162,盘中持仓!B:D,3,0),0))</f>
        <v/>
      </c>
      <c r="H162" s="35">
        <f>IF(B162="","",IF(G162&lt;&gt;0,IF(G162&gt;0,"","交易超限"),"该股票未持仓，仅可买入"))</f>
        <v/>
      </c>
    </row>
    <row r="163">
      <c r="A163" s="19" t="n">
        <v>162</v>
      </c>
      <c r="B163" s="19" t="n"/>
      <c r="C163" s="35" t="n"/>
      <c r="D163" s="19" t="n"/>
      <c r="E163" s="35">
        <f>IF(B163="","",IF(D163&lt;=0,-C163*D163*2.5/10000,C163*D163*12.5/10000))</f>
        <v/>
      </c>
      <c r="F163" s="35">
        <f>IF(B163="","",C163*D163-E163)</f>
        <v/>
      </c>
      <c r="G163" s="19">
        <f>IF(B163="","",IF(COUNTIF(盘中持仓!B:B,B163),VLOOKUP(B163,盘中持仓!B:D,3,0),0))</f>
        <v/>
      </c>
      <c r="H163" s="35">
        <f>IF(B163="","",IF(G163&lt;&gt;0,IF(G163&gt;0,"","交易超限"),"该股票未持仓，仅可买入"))</f>
        <v/>
      </c>
    </row>
    <row r="164">
      <c r="A164" s="19" t="n">
        <v>163</v>
      </c>
      <c r="B164" s="19" t="n"/>
      <c r="C164" s="35" t="n"/>
      <c r="D164" s="19" t="n"/>
      <c r="E164" s="35">
        <f>IF(B164="","",IF(D164&lt;=0,-C164*D164*2.5/10000,C164*D164*12.5/10000))</f>
        <v/>
      </c>
      <c r="F164" s="35">
        <f>IF(B164="","",C164*D164-E164)</f>
        <v/>
      </c>
      <c r="G164" s="19">
        <f>IF(B164="","",IF(COUNTIF(盘中持仓!B:B,B164),VLOOKUP(B164,盘中持仓!B:D,3,0),0))</f>
        <v/>
      </c>
      <c r="H164" s="35">
        <f>IF(B164="","",IF(G164&lt;&gt;0,IF(G164&gt;0,"","交易超限"),"该股票未持仓，仅可买入"))</f>
        <v/>
      </c>
    </row>
    <row r="165">
      <c r="A165" s="19" t="n">
        <v>164</v>
      </c>
      <c r="B165" s="19" t="n"/>
      <c r="C165" s="35" t="n"/>
      <c r="D165" s="19" t="n"/>
      <c r="E165" s="35">
        <f>IF(B165="","",IF(D165&lt;=0,-C165*D165*2.5/10000,C165*D165*12.5/10000))</f>
        <v/>
      </c>
      <c r="F165" s="35">
        <f>IF(B165="","",C165*D165-E165)</f>
        <v/>
      </c>
      <c r="G165" s="19">
        <f>IF(B165="","",IF(COUNTIF(盘中持仓!B:B,B165),VLOOKUP(B165,盘中持仓!B:D,3,0),0))</f>
        <v/>
      </c>
      <c r="H165" s="35">
        <f>IF(B165="","",IF(G165&lt;&gt;0,IF(G165&gt;0,"","交易超限"),"该股票未持仓，仅可买入"))</f>
        <v/>
      </c>
    </row>
    <row r="166">
      <c r="A166" s="19" t="n">
        <v>165</v>
      </c>
      <c r="B166" s="19" t="n"/>
      <c r="C166" s="35" t="n"/>
      <c r="D166" s="19" t="n"/>
      <c r="E166" s="35">
        <f>IF(B166="","",IF(D166&lt;=0,-C166*D166*2.5/10000,C166*D166*12.5/10000))</f>
        <v/>
      </c>
      <c r="F166" s="35">
        <f>IF(B166="","",C166*D166-E166)</f>
        <v/>
      </c>
      <c r="G166" s="19">
        <f>IF(B166="","",IF(COUNTIF(盘中持仓!B:B,B166),VLOOKUP(B166,盘中持仓!B:D,3,0),0))</f>
        <v/>
      </c>
      <c r="H166" s="35">
        <f>IF(B166="","",IF(G166&lt;&gt;0,IF(G166&gt;0,"","交易超限"),"该股票未持仓，仅可买入"))</f>
        <v/>
      </c>
    </row>
    <row r="167">
      <c r="A167" s="19" t="n">
        <v>166</v>
      </c>
      <c r="B167" s="19" t="n"/>
      <c r="C167" s="35" t="n"/>
      <c r="D167" s="19" t="n"/>
      <c r="E167" s="35">
        <f>IF(B167="","",IF(D167&lt;=0,-C167*D167*2.5/10000,C167*D167*12.5/10000))</f>
        <v/>
      </c>
      <c r="F167" s="35">
        <f>IF(B167="","",C167*D167-E167)</f>
        <v/>
      </c>
      <c r="G167" s="19">
        <f>IF(B167="","",IF(COUNTIF(盘中持仓!B:B,B167),VLOOKUP(B167,盘中持仓!B:D,3,0),0))</f>
        <v/>
      </c>
      <c r="H167" s="35">
        <f>IF(B167="","",IF(G167&lt;&gt;0,IF(G167&gt;0,"","交易超限"),"该股票未持仓，仅可买入"))</f>
        <v/>
      </c>
    </row>
    <row r="168">
      <c r="A168" s="19" t="n">
        <v>167</v>
      </c>
      <c r="B168" s="19" t="n"/>
      <c r="C168" s="35" t="n"/>
      <c r="D168" s="19" t="n"/>
      <c r="E168" s="35">
        <f>IF(B168="","",IF(D168&lt;=0,-C168*D168*2.5/10000,C168*D168*12.5/10000))</f>
        <v/>
      </c>
      <c r="F168" s="35">
        <f>IF(B168="","",C168*D168-E168)</f>
        <v/>
      </c>
      <c r="G168" s="19">
        <f>IF(B168="","",IF(COUNTIF(盘中持仓!B:B,B168),VLOOKUP(B168,盘中持仓!B:D,3,0),0))</f>
        <v/>
      </c>
      <c r="H168" s="35">
        <f>IF(B168="","",IF(G168&lt;&gt;0,IF(G168&gt;0,"","交易超限"),"该股票未持仓，仅可买入"))</f>
        <v/>
      </c>
    </row>
    <row r="169">
      <c r="A169" s="19" t="n">
        <v>168</v>
      </c>
      <c r="B169" s="19" t="n"/>
      <c r="C169" s="35" t="n"/>
      <c r="D169" s="19" t="n"/>
      <c r="E169" s="35">
        <f>IF(B169="","",IF(D169&lt;=0,-C169*D169*2.5/10000,C169*D169*12.5/10000))</f>
        <v/>
      </c>
      <c r="F169" s="35">
        <f>IF(B169="","",C169*D169-E169)</f>
        <v/>
      </c>
      <c r="G169" s="19">
        <f>IF(B169="","",IF(COUNTIF(盘中持仓!B:B,B169),VLOOKUP(B169,盘中持仓!B:D,3,0),0))</f>
        <v/>
      </c>
      <c r="H169" s="35">
        <f>IF(B169="","",IF(G169&lt;&gt;0,IF(G169&gt;0,"","交易超限"),"该股票未持仓，仅可买入"))</f>
        <v/>
      </c>
    </row>
    <row r="170">
      <c r="A170" s="19" t="n">
        <v>169</v>
      </c>
      <c r="B170" s="19" t="n"/>
      <c r="C170" s="35" t="n"/>
      <c r="D170" s="19" t="n"/>
      <c r="E170" s="35">
        <f>IF(B170="","",IF(D170&lt;=0,-C170*D170*2.5/10000,C170*D170*12.5/10000))</f>
        <v/>
      </c>
      <c r="F170" s="35">
        <f>IF(B170="","",C170*D170-E170)</f>
        <v/>
      </c>
      <c r="G170" s="19">
        <f>IF(B170="","",IF(COUNTIF(盘中持仓!B:B,B170),VLOOKUP(B170,盘中持仓!B:D,3,0),0))</f>
        <v/>
      </c>
      <c r="H170" s="35">
        <f>IF(B170="","",IF(G170&lt;&gt;0,IF(G170&gt;0,"","交易超限"),"该股票未持仓，仅可买入"))</f>
        <v/>
      </c>
    </row>
    <row r="171">
      <c r="A171" s="19" t="n">
        <v>170</v>
      </c>
      <c r="B171" s="19" t="n"/>
      <c r="C171" s="35" t="n"/>
      <c r="D171" s="19" t="n"/>
      <c r="E171" s="35">
        <f>IF(B171="","",IF(D171&lt;=0,-C171*D171*2.5/10000,C171*D171*12.5/10000))</f>
        <v/>
      </c>
      <c r="F171" s="35">
        <f>IF(B171="","",C171*D171-E171)</f>
        <v/>
      </c>
      <c r="G171" s="19">
        <f>IF(B171="","",IF(COUNTIF(盘中持仓!B:B,B171),VLOOKUP(B171,盘中持仓!B:D,3,0),0))</f>
        <v/>
      </c>
      <c r="H171" s="35">
        <f>IF(B171="","",IF(G171&lt;&gt;0,IF(G171&gt;0,"","交易超限"),"该股票未持仓，仅可买入"))</f>
        <v/>
      </c>
    </row>
    <row r="172">
      <c r="A172" s="19" t="n">
        <v>171</v>
      </c>
      <c r="B172" s="19" t="n"/>
      <c r="C172" s="35" t="n"/>
      <c r="D172" s="19" t="n"/>
      <c r="E172" s="35">
        <f>IF(B172="","",IF(D172&lt;=0,-C172*D172*2.5/10000,C172*D172*12.5/10000))</f>
        <v/>
      </c>
      <c r="F172" s="35">
        <f>IF(B172="","",C172*D172-E172)</f>
        <v/>
      </c>
      <c r="G172" s="19">
        <f>IF(B172="","",IF(COUNTIF(盘中持仓!B:B,B172),VLOOKUP(B172,盘中持仓!B:D,3,0),0))</f>
        <v/>
      </c>
      <c r="H172" s="35">
        <f>IF(B172="","",IF(G172&lt;&gt;0,IF(G172&gt;0,"","交易超限"),"该股票未持仓，仅可买入"))</f>
        <v/>
      </c>
    </row>
    <row r="173">
      <c r="A173" s="19" t="n">
        <v>172</v>
      </c>
      <c r="B173" s="19" t="n"/>
      <c r="C173" s="35" t="n"/>
      <c r="D173" s="19" t="n"/>
      <c r="E173" s="35">
        <f>IF(B173="","",IF(D173&lt;=0,-C173*D173*2.5/10000,C173*D173*12.5/10000))</f>
        <v/>
      </c>
      <c r="F173" s="35">
        <f>IF(B173="","",C173*D173-E173)</f>
        <v/>
      </c>
      <c r="G173" s="19">
        <f>IF(B173="","",IF(COUNTIF(盘中持仓!B:B,B173),VLOOKUP(B173,盘中持仓!B:D,3,0),0))</f>
        <v/>
      </c>
      <c r="H173" s="35">
        <f>IF(B173="","",IF(G173&lt;&gt;0,IF(G173&gt;0,"","交易超限"),"该股票未持仓，仅可买入"))</f>
        <v/>
      </c>
    </row>
    <row r="174">
      <c r="A174" s="19" t="n">
        <v>173</v>
      </c>
      <c r="B174" s="19" t="n"/>
      <c r="C174" s="35" t="n"/>
      <c r="D174" s="19" t="n"/>
      <c r="E174" s="35">
        <f>IF(B174="","",IF(D174&lt;=0,-C174*D174*2.5/10000,C174*D174*12.5/10000))</f>
        <v/>
      </c>
      <c r="F174" s="35">
        <f>IF(B174="","",C174*D174-E174)</f>
        <v/>
      </c>
      <c r="G174" s="19">
        <f>IF(B174="","",IF(COUNTIF(盘中持仓!B:B,B174),VLOOKUP(B174,盘中持仓!B:D,3,0),0))</f>
        <v/>
      </c>
      <c r="H174" s="35">
        <f>IF(B174="","",IF(G174&lt;&gt;0,IF(G174&gt;0,"","交易超限"),"该股票未持仓，仅可买入"))</f>
        <v/>
      </c>
    </row>
    <row r="175">
      <c r="A175" s="19" t="n">
        <v>174</v>
      </c>
      <c r="B175" s="19" t="n"/>
      <c r="C175" s="35" t="n"/>
      <c r="D175" s="19" t="n"/>
      <c r="E175" s="35">
        <f>IF(B175="","",IF(D175&lt;=0,-C175*D175*2.5/10000,C175*D175*12.5/10000))</f>
        <v/>
      </c>
      <c r="F175" s="35">
        <f>IF(B175="","",C175*D175-E175)</f>
        <v/>
      </c>
      <c r="G175" s="19">
        <f>IF(B175="","",IF(COUNTIF(盘中持仓!B:B,B175),VLOOKUP(B175,盘中持仓!B:D,3,0),0))</f>
        <v/>
      </c>
      <c r="H175" s="35">
        <f>IF(B175="","",IF(G175&lt;&gt;0,IF(G175&gt;0,"","交易超限"),"该股票未持仓，仅可买入"))</f>
        <v/>
      </c>
    </row>
    <row r="176">
      <c r="A176" s="19" t="n">
        <v>175</v>
      </c>
      <c r="B176" s="19" t="n"/>
      <c r="C176" s="35" t="n"/>
      <c r="D176" s="19" t="n"/>
      <c r="E176" s="35">
        <f>IF(B176="","",IF(D176&lt;=0,-C176*D176*2.5/10000,C176*D176*12.5/10000))</f>
        <v/>
      </c>
      <c r="F176" s="35">
        <f>IF(B176="","",C176*D176-E176)</f>
        <v/>
      </c>
      <c r="G176" s="19">
        <f>IF(B176="","",IF(COUNTIF(盘中持仓!B:B,B176),VLOOKUP(B176,盘中持仓!B:D,3,0),0))</f>
        <v/>
      </c>
      <c r="H176" s="35">
        <f>IF(B176="","",IF(G176&lt;&gt;0,IF(G176&gt;0,"","交易超限"),"该股票未持仓，仅可买入"))</f>
        <v/>
      </c>
    </row>
    <row r="177">
      <c r="A177" s="19" t="n">
        <v>176</v>
      </c>
      <c r="B177" s="19" t="n"/>
      <c r="C177" s="35" t="n"/>
      <c r="D177" s="19" t="n"/>
      <c r="E177" s="35">
        <f>IF(B177="","",IF(D177&lt;=0,-C177*D177*2.5/10000,C177*D177*12.5/10000))</f>
        <v/>
      </c>
      <c r="F177" s="35">
        <f>IF(B177="","",C177*D177-E177)</f>
        <v/>
      </c>
      <c r="G177" s="19">
        <f>IF(B177="","",IF(COUNTIF(盘中持仓!B:B,B177),VLOOKUP(B177,盘中持仓!B:D,3,0),0))</f>
        <v/>
      </c>
      <c r="H177" s="35">
        <f>IF(B177="","",IF(G177&lt;&gt;0,IF(G177&gt;0,"","交易超限"),"该股票未持仓，仅可买入"))</f>
        <v/>
      </c>
    </row>
    <row r="178">
      <c r="A178" s="19" t="n">
        <v>177</v>
      </c>
      <c r="B178" s="19" t="n"/>
      <c r="C178" s="35" t="n"/>
      <c r="D178" s="19" t="n"/>
      <c r="E178" s="35">
        <f>IF(B178="","",IF(D178&lt;=0,-C178*D178*2.5/10000,C178*D178*12.5/10000))</f>
        <v/>
      </c>
      <c r="F178" s="35">
        <f>IF(B178="","",C178*D178-E178)</f>
        <v/>
      </c>
      <c r="G178" s="19">
        <f>IF(B178="","",IF(COUNTIF(盘中持仓!B:B,B178),VLOOKUP(B178,盘中持仓!B:D,3,0),0))</f>
        <v/>
      </c>
      <c r="H178" s="35">
        <f>IF(B178="","",IF(G178&lt;&gt;0,IF(G178&gt;0,"","交易超限"),"该股票未持仓，仅可买入"))</f>
        <v/>
      </c>
    </row>
    <row r="179">
      <c r="A179" s="19" t="n">
        <v>178</v>
      </c>
      <c r="B179" s="19" t="n"/>
      <c r="C179" s="35" t="n"/>
      <c r="D179" s="19" t="n"/>
      <c r="E179" s="35">
        <f>IF(B179="","",IF(D179&lt;=0,-C179*D179*2.5/10000,C179*D179*12.5/10000))</f>
        <v/>
      </c>
      <c r="F179" s="35">
        <f>IF(B179="","",C179*D179-E179)</f>
        <v/>
      </c>
      <c r="G179" s="19">
        <f>IF(B179="","",IF(COUNTIF(盘中持仓!B:B,B179),VLOOKUP(B179,盘中持仓!B:D,3,0),0))</f>
        <v/>
      </c>
      <c r="H179" s="35">
        <f>IF(B179="","",IF(G179&lt;&gt;0,IF(G179&gt;0,"","交易超限"),"该股票未持仓，仅可买入"))</f>
        <v/>
      </c>
    </row>
    <row r="180">
      <c r="A180" s="19" t="n">
        <v>179</v>
      </c>
      <c r="B180" s="19" t="n"/>
      <c r="C180" s="35" t="n"/>
      <c r="D180" s="19" t="n"/>
      <c r="E180" s="35">
        <f>IF(B180="","",IF(D180&lt;=0,-C180*D180*2.5/10000,C180*D180*12.5/10000))</f>
        <v/>
      </c>
      <c r="F180" s="35">
        <f>IF(B180="","",C180*D180-E180)</f>
        <v/>
      </c>
      <c r="G180" s="19">
        <f>IF(B180="","",IF(COUNTIF(盘中持仓!B:B,B180),VLOOKUP(B180,盘中持仓!B:D,3,0),0))</f>
        <v/>
      </c>
      <c r="H180" s="35">
        <f>IF(B180="","",IF(G180&lt;&gt;0,IF(G180&gt;0,"","交易超限"),"该股票未持仓，仅可买入"))</f>
        <v/>
      </c>
    </row>
    <row r="181">
      <c r="A181" s="19" t="n">
        <v>180</v>
      </c>
      <c r="B181" s="19" t="n"/>
      <c r="C181" s="35" t="n"/>
      <c r="D181" s="19" t="n"/>
      <c r="E181" s="35">
        <f>IF(B181="","",IF(D181&lt;=0,-C181*D181*2.5/10000,C181*D181*12.5/10000))</f>
        <v/>
      </c>
      <c r="F181" s="35">
        <f>IF(B181="","",C181*D181-E181)</f>
        <v/>
      </c>
      <c r="G181" s="19">
        <f>IF(B181="","",IF(COUNTIF(盘中持仓!B:B,B181),VLOOKUP(B181,盘中持仓!B:D,3,0),0))</f>
        <v/>
      </c>
      <c r="H181" s="35">
        <f>IF(B181="","",IF(G181&lt;&gt;0,IF(G181&gt;0,"","交易超限"),"该股票未持仓，仅可买入"))</f>
        <v/>
      </c>
    </row>
    <row r="182">
      <c r="A182" s="19" t="n">
        <v>181</v>
      </c>
      <c r="B182" s="19" t="n"/>
      <c r="C182" s="35" t="n"/>
      <c r="D182" s="19" t="n"/>
      <c r="E182" s="35">
        <f>IF(B182="","",IF(D182&lt;=0,-C182*D182*2.5/10000,C182*D182*12.5/10000))</f>
        <v/>
      </c>
      <c r="F182" s="35">
        <f>IF(B182="","",C182*D182-E182)</f>
        <v/>
      </c>
      <c r="G182" s="19">
        <f>IF(B182="","",IF(COUNTIF(盘中持仓!B:B,B182),VLOOKUP(B182,盘中持仓!B:D,3,0),0))</f>
        <v/>
      </c>
      <c r="H182" s="35">
        <f>IF(B182="","",IF(G182&lt;&gt;0,IF(G182&gt;0,"","交易超限"),"该股票未持仓，仅可买入"))</f>
        <v/>
      </c>
    </row>
    <row r="183">
      <c r="A183" s="19" t="n">
        <v>182</v>
      </c>
      <c r="B183" s="19" t="n"/>
      <c r="C183" s="35" t="n"/>
      <c r="D183" s="19" t="n"/>
      <c r="E183" s="35">
        <f>IF(B183="","",IF(D183&lt;=0,-C183*D183*2.5/10000,C183*D183*12.5/10000))</f>
        <v/>
      </c>
      <c r="F183" s="35">
        <f>IF(B183="","",C183*D183-E183)</f>
        <v/>
      </c>
      <c r="G183" s="19">
        <f>IF(B183="","",IF(COUNTIF(盘中持仓!B:B,B183),VLOOKUP(B183,盘中持仓!B:D,3,0),0))</f>
        <v/>
      </c>
      <c r="H183" s="35">
        <f>IF(B183="","",IF(G183&lt;&gt;0,IF(G183&gt;0,"","交易超限"),"该股票未持仓，仅可买入"))</f>
        <v/>
      </c>
    </row>
    <row r="184">
      <c r="A184" s="19" t="n">
        <v>183</v>
      </c>
      <c r="B184" s="19" t="n"/>
      <c r="C184" s="35" t="n"/>
      <c r="D184" s="19" t="n"/>
      <c r="E184" s="35">
        <f>IF(B184="","",IF(D184&lt;=0,-C184*D184*2.5/10000,C184*D184*12.5/10000))</f>
        <v/>
      </c>
      <c r="F184" s="35">
        <f>IF(B184="","",C184*D184-E184)</f>
        <v/>
      </c>
      <c r="G184" s="19">
        <f>IF(B184="","",IF(COUNTIF(盘中持仓!B:B,B184),VLOOKUP(B184,盘中持仓!B:D,3,0),0))</f>
        <v/>
      </c>
      <c r="H184" s="35">
        <f>IF(B184="","",IF(G184&lt;&gt;0,IF(G184&gt;0,"","交易超限"),"该股票未持仓，仅可买入"))</f>
        <v/>
      </c>
    </row>
    <row r="185">
      <c r="A185" s="19" t="n">
        <v>184</v>
      </c>
      <c r="B185" s="19" t="n"/>
      <c r="C185" s="35" t="n"/>
      <c r="D185" s="19" t="n"/>
      <c r="E185" s="35">
        <f>IF(B185="","",IF(D185&lt;=0,-C185*D185*2.5/10000,C185*D185*12.5/10000))</f>
        <v/>
      </c>
      <c r="F185" s="35">
        <f>IF(B185="","",C185*D185-E185)</f>
        <v/>
      </c>
      <c r="G185" s="19">
        <f>IF(B185="","",IF(COUNTIF(盘中持仓!B:B,B185),VLOOKUP(B185,盘中持仓!B:D,3,0),0))</f>
        <v/>
      </c>
      <c r="H185" s="35">
        <f>IF(B185="","",IF(G185&lt;&gt;0,IF(G185&gt;0,"","交易超限"),"该股票未持仓，仅可买入"))</f>
        <v/>
      </c>
    </row>
    <row r="186">
      <c r="A186" s="19" t="n">
        <v>185</v>
      </c>
      <c r="B186" s="19" t="n"/>
      <c r="C186" s="35" t="n"/>
      <c r="D186" s="19" t="n"/>
      <c r="E186" s="35">
        <f>IF(B186="","",IF(D186&lt;=0,-C186*D186*2.5/10000,C186*D186*12.5/10000))</f>
        <v/>
      </c>
      <c r="F186" s="35">
        <f>IF(B186="","",C186*D186-E186)</f>
        <v/>
      </c>
      <c r="G186" s="19">
        <f>IF(B186="","",IF(COUNTIF(盘中持仓!B:B,B186),VLOOKUP(B186,盘中持仓!B:D,3,0),0))</f>
        <v/>
      </c>
      <c r="H186" s="35">
        <f>IF(B186="","",IF(G186&lt;&gt;0,IF(G186&gt;0,"","交易超限"),"该股票未持仓，仅可买入"))</f>
        <v/>
      </c>
    </row>
    <row r="187">
      <c r="A187" s="19" t="n">
        <v>186</v>
      </c>
      <c r="B187" s="19" t="n"/>
      <c r="C187" s="35" t="n"/>
      <c r="D187" s="19" t="n"/>
      <c r="E187" s="35">
        <f>IF(B187="","",IF(D187&lt;=0,-C187*D187*2.5/10000,C187*D187*12.5/10000))</f>
        <v/>
      </c>
      <c r="F187" s="35">
        <f>IF(B187="","",C187*D187-E187)</f>
        <v/>
      </c>
      <c r="G187" s="19">
        <f>IF(B187="","",IF(COUNTIF(盘中持仓!B:B,B187),VLOOKUP(B187,盘中持仓!B:D,3,0),0))</f>
        <v/>
      </c>
      <c r="H187" s="35">
        <f>IF(B187="","",IF(G187&lt;&gt;0,IF(G187&gt;0,"","交易超限"),"该股票未持仓，仅可买入"))</f>
        <v/>
      </c>
    </row>
    <row r="188">
      <c r="A188" s="19" t="n">
        <v>187</v>
      </c>
      <c r="B188" s="19" t="n"/>
      <c r="C188" s="35" t="n"/>
      <c r="D188" s="19" t="n"/>
      <c r="E188" s="35">
        <f>IF(B188="","",IF(D188&lt;=0,-C188*D188*2.5/10000,C188*D188*12.5/10000))</f>
        <v/>
      </c>
      <c r="F188" s="35">
        <f>IF(B188="","",C188*D188-E188)</f>
        <v/>
      </c>
      <c r="G188" s="19">
        <f>IF(B188="","",IF(COUNTIF(盘中持仓!B:B,B188),VLOOKUP(B188,盘中持仓!B:D,3,0),0))</f>
        <v/>
      </c>
      <c r="H188" s="35">
        <f>IF(B188="","",IF(G188&lt;&gt;0,IF(G188&gt;0,"","交易超限"),"该股票未持仓，仅可买入"))</f>
        <v/>
      </c>
    </row>
    <row r="189">
      <c r="A189" s="19" t="n">
        <v>188</v>
      </c>
      <c r="B189" s="19" t="n"/>
      <c r="C189" s="35" t="n"/>
      <c r="D189" s="19" t="n"/>
      <c r="E189" s="35">
        <f>IF(B189="","",IF(D189&lt;=0,-C189*D189*2.5/10000,C189*D189*12.5/10000))</f>
        <v/>
      </c>
      <c r="F189" s="35">
        <f>IF(B189="","",C189*D189-E189)</f>
        <v/>
      </c>
      <c r="G189" s="19">
        <f>IF(B189="","",IF(COUNTIF(盘中持仓!B:B,B189),VLOOKUP(B189,盘中持仓!B:D,3,0),0))</f>
        <v/>
      </c>
      <c r="H189" s="35">
        <f>IF(B189="","",IF(G189&lt;&gt;0,IF(G189&gt;0,"","交易超限"),"该股票未持仓，仅可买入"))</f>
        <v/>
      </c>
    </row>
    <row r="190">
      <c r="A190" s="19" t="n">
        <v>189</v>
      </c>
      <c r="B190" s="19" t="n"/>
      <c r="C190" s="35" t="n"/>
      <c r="D190" s="19" t="n"/>
      <c r="E190" s="35">
        <f>IF(B190="","",IF(D190&lt;=0,-C190*D190*2.5/10000,C190*D190*12.5/10000))</f>
        <v/>
      </c>
      <c r="F190" s="35">
        <f>IF(B190="","",C190*D190-E190)</f>
        <v/>
      </c>
      <c r="G190" s="19">
        <f>IF(B190="","",IF(COUNTIF(盘中持仓!B:B,B190),VLOOKUP(B190,盘中持仓!B:D,3,0),0))</f>
        <v/>
      </c>
      <c r="H190" s="35">
        <f>IF(B190="","",IF(G190&lt;&gt;0,IF(G190&gt;0,"","交易超限"),"该股票未持仓，仅可买入"))</f>
        <v/>
      </c>
    </row>
    <row r="191">
      <c r="A191" s="19" t="n">
        <v>190</v>
      </c>
      <c r="B191" s="19" t="n"/>
      <c r="C191" s="35" t="n"/>
      <c r="D191" s="19" t="n"/>
      <c r="E191" s="35">
        <f>IF(B191="","",IF(D191&lt;=0,-C191*D191*2.5/10000,C191*D191*12.5/10000))</f>
        <v/>
      </c>
      <c r="F191" s="35">
        <f>IF(B191="","",C191*D191-E191)</f>
        <v/>
      </c>
      <c r="G191" s="19">
        <f>IF(B191="","",IF(COUNTIF(盘中持仓!B:B,B191),VLOOKUP(B191,盘中持仓!B:D,3,0),0))</f>
        <v/>
      </c>
      <c r="H191" s="35">
        <f>IF(B191="","",IF(G191&lt;&gt;0,IF(G191&gt;0,"","交易超限"),"该股票未持仓，仅可买入"))</f>
        <v/>
      </c>
    </row>
    <row r="192">
      <c r="A192" s="19" t="n">
        <v>191</v>
      </c>
      <c r="B192" s="19" t="n"/>
      <c r="C192" s="35" t="n"/>
      <c r="D192" s="19" t="n"/>
      <c r="E192" s="35">
        <f>IF(B192="","",IF(D192&lt;=0,-C192*D192*2.5/10000,C192*D192*12.5/10000))</f>
        <v/>
      </c>
      <c r="F192" s="35">
        <f>IF(B192="","",C192*D192-E192)</f>
        <v/>
      </c>
      <c r="G192" s="19">
        <f>IF(B192="","",IF(COUNTIF(盘中持仓!B:B,B192),VLOOKUP(B192,盘中持仓!B:D,3,0),0))</f>
        <v/>
      </c>
      <c r="H192" s="35">
        <f>IF(B192="","",IF(G192&lt;&gt;0,IF(G192&gt;0,"","交易超限"),"该股票未持仓，仅可买入"))</f>
        <v/>
      </c>
    </row>
    <row r="193">
      <c r="A193" s="19" t="n">
        <v>192</v>
      </c>
      <c r="B193" s="19" t="n"/>
      <c r="C193" s="35" t="n"/>
      <c r="D193" s="19" t="n"/>
      <c r="E193" s="35">
        <f>IF(B193="","",IF(D193&lt;=0,-C193*D193*2.5/10000,C193*D193*12.5/10000))</f>
        <v/>
      </c>
      <c r="F193" s="35">
        <f>IF(B193="","",C193*D193-E193)</f>
        <v/>
      </c>
      <c r="G193" s="19">
        <f>IF(B193="","",IF(COUNTIF(盘中持仓!B:B,B193),VLOOKUP(B193,盘中持仓!B:D,3,0),0))</f>
        <v/>
      </c>
      <c r="H193" s="35">
        <f>IF(B193="","",IF(G193&lt;&gt;0,IF(G193&gt;0,"","交易超限"),"该股票未持仓，仅可买入"))</f>
        <v/>
      </c>
    </row>
    <row r="194">
      <c r="A194" s="19" t="n">
        <v>193</v>
      </c>
      <c r="B194" s="19" t="n"/>
      <c r="C194" s="35" t="n"/>
      <c r="D194" s="19" t="n"/>
      <c r="E194" s="35">
        <f>IF(B194="","",IF(D194&lt;=0,-C194*D194*2.5/10000,C194*D194*12.5/10000))</f>
        <v/>
      </c>
      <c r="F194" s="35">
        <f>IF(B194="","",C194*D194-E194)</f>
        <v/>
      </c>
      <c r="G194" s="19">
        <f>IF(B194="","",IF(COUNTIF(盘中持仓!B:B,B194),VLOOKUP(B194,盘中持仓!B:D,3,0),0))</f>
        <v/>
      </c>
      <c r="H194" s="35">
        <f>IF(B194="","",IF(G194&lt;&gt;0,IF(G194&gt;0,"","交易超限"),"该股票未持仓，仅可买入"))</f>
        <v/>
      </c>
    </row>
    <row r="195">
      <c r="A195" s="19" t="n">
        <v>194</v>
      </c>
      <c r="B195" s="19" t="n"/>
      <c r="C195" s="35" t="n"/>
      <c r="D195" s="19" t="n"/>
      <c r="E195" s="35">
        <f>IF(B195="","",IF(D195&lt;=0,-C195*D195*2.5/10000,C195*D195*12.5/10000))</f>
        <v/>
      </c>
      <c r="F195" s="35">
        <f>IF(B195="","",C195*D195-E195)</f>
        <v/>
      </c>
      <c r="G195" s="19">
        <f>IF(B195="","",IF(COUNTIF(盘中持仓!B:B,B195),VLOOKUP(B195,盘中持仓!B:D,3,0),0))</f>
        <v/>
      </c>
      <c r="H195" s="35">
        <f>IF(B195="","",IF(G195&lt;&gt;0,IF(G195&gt;0,"","交易超限"),"该股票未持仓，仅可买入"))</f>
        <v/>
      </c>
    </row>
    <row r="196">
      <c r="A196" s="19" t="n">
        <v>195</v>
      </c>
      <c r="B196" s="19" t="n"/>
      <c r="C196" s="35" t="n"/>
      <c r="D196" s="19" t="n"/>
      <c r="E196" s="35">
        <f>IF(B196="","",IF(D196&lt;=0,-C196*D196*2.5/10000,C196*D196*12.5/10000))</f>
        <v/>
      </c>
      <c r="F196" s="35">
        <f>IF(B196="","",C196*D196-E196)</f>
        <v/>
      </c>
      <c r="G196" s="19">
        <f>IF(B196="","",IF(COUNTIF(盘中持仓!B:B,B196),VLOOKUP(B196,盘中持仓!B:D,3,0),0))</f>
        <v/>
      </c>
      <c r="H196" s="35">
        <f>IF(B196="","",IF(G196&lt;&gt;0,IF(G196&gt;0,"","交易超限"),"该股票未持仓，仅可买入"))</f>
        <v/>
      </c>
    </row>
    <row r="197">
      <c r="A197" s="19" t="n">
        <v>196</v>
      </c>
      <c r="B197" s="19" t="n"/>
      <c r="C197" s="35" t="n"/>
      <c r="D197" s="19" t="n"/>
      <c r="E197" s="35">
        <f>IF(B197="","",IF(D197&lt;=0,-C197*D197*2.5/10000,C197*D197*12.5/10000))</f>
        <v/>
      </c>
      <c r="F197" s="35">
        <f>IF(B197="","",C197*D197-E197)</f>
        <v/>
      </c>
      <c r="G197" s="19">
        <f>IF(B197="","",IF(COUNTIF(盘中持仓!B:B,B197),VLOOKUP(B197,盘中持仓!B:D,3,0),0))</f>
        <v/>
      </c>
      <c r="H197" s="35">
        <f>IF(B197="","",IF(G197&lt;&gt;0,IF(G197&gt;0,"","交易超限"),"该股票未持仓，仅可买入"))</f>
        <v/>
      </c>
    </row>
    <row r="198">
      <c r="A198" s="19" t="n">
        <v>197</v>
      </c>
      <c r="B198" s="19" t="n"/>
      <c r="C198" s="35" t="n"/>
      <c r="D198" s="19" t="n"/>
      <c r="E198" s="35">
        <f>IF(B198="","",IF(D198&lt;=0,-C198*D198*2.5/10000,C198*D198*12.5/10000))</f>
        <v/>
      </c>
      <c r="F198" s="35">
        <f>IF(B198="","",C198*D198-E198)</f>
        <v/>
      </c>
      <c r="G198" s="19">
        <f>IF(B198="","",IF(COUNTIF(盘中持仓!B:B,B198),VLOOKUP(B198,盘中持仓!B:D,3,0),0))</f>
        <v/>
      </c>
      <c r="H198" s="35">
        <f>IF(B198="","",IF(G198&lt;&gt;0,IF(G198&gt;0,"","交易超限"),"该股票未持仓，仅可买入"))</f>
        <v/>
      </c>
    </row>
    <row r="199">
      <c r="A199" s="19" t="n">
        <v>198</v>
      </c>
      <c r="B199" s="19" t="n"/>
      <c r="C199" s="35" t="n"/>
      <c r="D199" s="19" t="n"/>
      <c r="E199" s="35">
        <f>IF(B199="","",IF(D199&lt;=0,-C199*D199*2.5/10000,C199*D199*12.5/10000))</f>
        <v/>
      </c>
      <c r="F199" s="35">
        <f>IF(B199="","",C199*D199-E199)</f>
        <v/>
      </c>
      <c r="G199" s="19">
        <f>IF(B199="","",IF(COUNTIF(盘中持仓!B:B,B199),VLOOKUP(B199,盘中持仓!B:D,3,0),0))</f>
        <v/>
      </c>
      <c r="H199" s="35">
        <f>IF(B199="","",IF(G199&lt;&gt;0,IF(G199&gt;0,"","交易超限"),"该股票未持仓，仅可买入"))</f>
        <v/>
      </c>
    </row>
    <row r="200">
      <c r="A200" s="19" t="n">
        <v>199</v>
      </c>
      <c r="B200" s="19" t="n"/>
      <c r="C200" s="35" t="n"/>
      <c r="D200" s="19" t="n"/>
      <c r="E200" s="35">
        <f>IF(B200="","",IF(D200&lt;=0,-C200*D200*2.5/10000,C200*D200*12.5/10000))</f>
        <v/>
      </c>
      <c r="F200" s="35">
        <f>IF(B200="","",C200*D200-E200)</f>
        <v/>
      </c>
      <c r="G200" s="19">
        <f>IF(B200="","",IF(COUNTIF(盘中持仓!B:B,B200),VLOOKUP(B200,盘中持仓!B:D,3,0),0))</f>
        <v/>
      </c>
      <c r="H200" s="35">
        <f>IF(B200="","",IF(G200&lt;&gt;0,IF(G200&gt;0,"","交易超限"),"该股票未持仓，仅可买入"))</f>
        <v/>
      </c>
    </row>
    <row r="201">
      <c r="A201" s="19" t="n">
        <v>200</v>
      </c>
      <c r="B201" s="19" t="n"/>
      <c r="C201" s="35" t="n"/>
      <c r="D201" s="19" t="n"/>
      <c r="E201" s="35">
        <f>IF(B201="","",IF(D201&lt;=0,-C201*D201*2.5/10000,C201*D201*12.5/10000))</f>
        <v/>
      </c>
      <c r="F201" s="35">
        <f>IF(B201="","",C201*D201-E201)</f>
        <v/>
      </c>
      <c r="G201" s="19">
        <f>IF(B201="","",IF(COUNTIF(盘中持仓!B:B,B201),VLOOKUP(B201,盘中持仓!B:D,3,0),0))</f>
        <v/>
      </c>
      <c r="H201" s="35">
        <f>IF(B201="","",IF(G201&lt;&gt;0,IF(G201&gt;0,"","交易超限"),"该股票未持仓，仅可买入"))</f>
        <v/>
      </c>
    </row>
  </sheetData>
  <autoFilter ref="A1:G201"/>
  <conditionalFormatting sqref="H1:H1048576">
    <cfRule type="cellIs" priority="2" operator="equal" dxfId="0">
      <formula>"交易超限"</formula>
    </cfRule>
    <cfRule type="cellIs" priority="1" operator="equal" dxfId="2">
      <formula>"该股票未持仓，仅可买入"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E200"/>
  <sheetViews>
    <sheetView workbookViewId="0">
      <selection activeCell="C12" sqref="C12:D12"/>
    </sheetView>
  </sheetViews>
  <sheetFormatPr baseColWidth="8" defaultColWidth="9" defaultRowHeight="15" outlineLevelCol="0"/>
  <cols>
    <col width="5.12380952380952" customWidth="1" style="22" min="1" max="1"/>
    <col width="8.87619047619048" customWidth="1" style="22" min="2" max="2"/>
    <col width="11.5047619047619" customWidth="1" style="29" min="3" max="3"/>
    <col width="8.87619047619048" customWidth="1" style="22" min="4" max="4"/>
    <col width="9" customWidth="1" style="22" min="5" max="5"/>
  </cols>
  <sheetData>
    <row r="1" customFormat="1" s="22">
      <c r="A1" s="16" t="inlineStr">
        <is>
          <t>序号</t>
        </is>
      </c>
      <c r="B1" s="16" t="inlineStr">
        <is>
          <t>股票名称</t>
        </is>
      </c>
      <c r="C1" s="32" t="inlineStr">
        <is>
          <t>持仓成本</t>
        </is>
      </c>
      <c r="D1" s="16" t="inlineStr">
        <is>
          <t>持仓股数</t>
        </is>
      </c>
      <c r="E1" s="2" t="n"/>
    </row>
    <row r="2" s="30">
      <c r="A2" s="19" t="n">
        <v>1</v>
      </c>
      <c r="B2" s="21">
        <f>VLOOKUP(A2,持仓总表!A:B,2,0)</f>
        <v/>
      </c>
      <c r="C2" s="35">
        <f>(持仓总表!H3*持仓总表!F3-SUMIF(当日交易记录!B:B,B2,当日交易记录!F:F))/D2</f>
        <v/>
      </c>
      <c r="D2" s="19">
        <f>持仓总表!F3-SUMIF(当日交易记录!B:B,B2,当日交易记录!D:D)</f>
        <v/>
      </c>
      <c r="E2" s="22" t="n"/>
    </row>
    <row r="3" s="30">
      <c r="A3" s="19" t="n">
        <v>2</v>
      </c>
      <c r="B3" s="21">
        <f>VLOOKUP(A3,持仓总表!A:B,2,0)</f>
        <v/>
      </c>
      <c r="C3" s="35">
        <f>(持仓总表!H4*持仓总表!F4-SUMIF(当日交易记录!B:B,B3,当日交易记录!F:F))/D3</f>
        <v/>
      </c>
      <c r="D3" s="19">
        <f>持仓总表!F4-SUMIF(当日交易记录!B:B,B3,当日交易记录!D:D)</f>
        <v/>
      </c>
      <c r="E3" s="22" t="n"/>
    </row>
    <row r="4" s="30">
      <c r="A4" s="19" t="n">
        <v>3</v>
      </c>
      <c r="B4" s="21">
        <f>VLOOKUP(A4,持仓总表!A:B,2,0)</f>
        <v/>
      </c>
      <c r="C4" s="35">
        <f>(持仓总表!H5*持仓总表!F5-SUMIF(当日交易记录!B:B,B4,当日交易记录!F:F))/D4</f>
        <v/>
      </c>
      <c r="D4" s="19">
        <f>持仓总表!F5-SUMIF(当日交易记录!B:B,B4,当日交易记录!D:D)</f>
        <v/>
      </c>
      <c r="E4" s="22" t="n"/>
    </row>
    <row r="5" s="30">
      <c r="A5" s="19" t="n">
        <v>4</v>
      </c>
      <c r="B5" s="21">
        <f>VLOOKUP(A5,持仓总表!A:B,2,0)</f>
        <v/>
      </c>
      <c r="C5" s="35">
        <f>(持仓总表!H6*持仓总表!F6-SUMIF(当日交易记录!B:B,B5,当日交易记录!F:F))/D5</f>
        <v/>
      </c>
      <c r="D5" s="19">
        <f>持仓总表!F6-SUMIF(当日交易记录!B:B,B5,当日交易记录!D:D)</f>
        <v/>
      </c>
      <c r="E5" s="22" t="n"/>
    </row>
    <row r="6" s="30">
      <c r="A6" s="19" t="n">
        <v>5</v>
      </c>
      <c r="B6" s="21">
        <f>VLOOKUP(A6,持仓总表!A:B,2,0)</f>
        <v/>
      </c>
      <c r="C6" s="35">
        <f>(持仓总表!H7*持仓总表!F7-SUMIF(当日交易记录!B:B,B6,当日交易记录!F:F))/D6</f>
        <v/>
      </c>
      <c r="D6" s="19">
        <f>持仓总表!F7-SUMIF(当日交易记录!B:B,B6,当日交易记录!D:D)</f>
        <v/>
      </c>
      <c r="E6" s="22" t="n"/>
    </row>
    <row r="7" s="30">
      <c r="A7" s="19" t="n">
        <v>6</v>
      </c>
      <c r="B7" s="21">
        <f>VLOOKUP(A7,持仓总表!A:B,2,0)</f>
        <v/>
      </c>
      <c r="C7" s="35">
        <f>(持仓总表!H8*持仓总表!F8-SUMIF(当日交易记录!B:B,B7,当日交易记录!F:F))/D7</f>
        <v/>
      </c>
      <c r="D7" s="19">
        <f>持仓总表!F8-SUMIF(当日交易记录!B:B,B7,当日交易记录!D:D)</f>
        <v/>
      </c>
      <c r="E7" s="22" t="n"/>
    </row>
    <row r="8" s="30">
      <c r="A8" s="19" t="n">
        <v>7</v>
      </c>
      <c r="B8" s="21">
        <f>VLOOKUP(A8,持仓总表!A:B,2,0)</f>
        <v/>
      </c>
      <c r="C8" s="35">
        <f>(持仓总表!H9*持仓总表!F9-SUMIF(当日交易记录!B:B,B8,当日交易记录!F:F))/D8</f>
        <v/>
      </c>
      <c r="D8" s="19">
        <f>持仓总表!F9-SUMIF(当日交易记录!B:B,B8,当日交易记录!D:D)</f>
        <v/>
      </c>
      <c r="E8" s="22" t="n"/>
    </row>
    <row r="9" s="30">
      <c r="A9" s="19" t="n">
        <v>8</v>
      </c>
      <c r="B9" s="21">
        <f>VLOOKUP(A9,持仓总表!A:B,2,0)</f>
        <v/>
      </c>
      <c r="C9" s="35">
        <f>(持仓总表!H10*持仓总表!F10-SUMIF(当日交易记录!B:B,B9,当日交易记录!F:F))/D9</f>
        <v/>
      </c>
      <c r="D9" s="19">
        <f>持仓总表!F10-SUMIF(当日交易记录!B:B,B9,当日交易记录!D:D)</f>
        <v/>
      </c>
      <c r="E9" s="22" t="n"/>
    </row>
    <row r="10" s="30">
      <c r="A10" s="19" t="n">
        <v>9</v>
      </c>
      <c r="B10" s="21">
        <f>VLOOKUP(A10,持仓总表!A:B,2,0)</f>
        <v/>
      </c>
      <c r="C10" s="35">
        <f>(持仓总表!H11*持仓总表!F11-SUMIF(当日交易记录!B:B,B10,当日交易记录!F:F))/D10</f>
        <v/>
      </c>
      <c r="D10" s="19">
        <f>持仓总表!F11-SUMIF(当日交易记录!B:B,B10,当日交易记录!D:D)</f>
        <v/>
      </c>
      <c r="E10" s="22" t="n"/>
    </row>
    <row r="11" s="30">
      <c r="A11" s="19" t="n">
        <v>10</v>
      </c>
      <c r="B11" s="21">
        <f>VLOOKUP(A11,持仓总表!A:B,2,0)</f>
        <v/>
      </c>
      <c r="C11" s="35">
        <f>(持仓总表!H12*持仓总表!F12-SUMIF(当日交易记录!B:B,B11,当日交易记录!F:F))/D11</f>
        <v/>
      </c>
      <c r="D11" s="19">
        <f>持仓总表!F12-SUMIF(当日交易记录!B:B,B11,当日交易记录!D:D)</f>
        <v/>
      </c>
      <c r="E11" s="22" t="n"/>
    </row>
    <row r="12" s="30">
      <c r="A12" s="19" t="n">
        <v>11</v>
      </c>
      <c r="B12" s="21">
        <f>VLOOKUP(A12,持仓总表!A:B,2,0)</f>
        <v/>
      </c>
      <c r="C12" s="35">
        <f>(持仓总表!H13*持仓总表!F13-SUMIF(当日交易记录!B:B,B12,当日交易记录!F:F))/D12</f>
        <v/>
      </c>
      <c r="D12" s="19">
        <f>持仓总表!F13-SUMIF(当日交易记录!B:B,B12,当日交易记录!D:D)</f>
        <v/>
      </c>
      <c r="E12" s="22" t="n"/>
    </row>
    <row r="13" s="30">
      <c r="A13" s="19" t="n">
        <v>12</v>
      </c>
      <c r="B13" s="21">
        <f>VLOOKUP(A13,持仓总表!A:B,2,0)</f>
        <v/>
      </c>
      <c r="C13" s="35">
        <f>(持仓总表!H14*持仓总表!F14-SUMIF(当日交易记录!B:B,B13,当日交易记录!F:F))/D13</f>
        <v/>
      </c>
      <c r="D13" s="19">
        <f>持仓总表!F14-SUMIF(当日交易记录!B:B,B13,当日交易记录!D:D)</f>
        <v/>
      </c>
      <c r="E13" s="22" t="n"/>
    </row>
    <row r="14" s="30">
      <c r="A14" s="19" t="n">
        <v>13</v>
      </c>
      <c r="B14" s="21">
        <f>VLOOKUP(A14,持仓总表!A:B,2,0)</f>
        <v/>
      </c>
      <c r="C14" s="35">
        <f>(持仓总表!H15*持仓总表!F15-SUMIF(当日交易记录!B:B,B14,当日交易记录!F:F))/D14</f>
        <v/>
      </c>
      <c r="D14" s="19">
        <f>持仓总表!F15-SUMIF(当日交易记录!B:B,B14,当日交易记录!D:D)</f>
        <v/>
      </c>
      <c r="E14" s="22" t="n"/>
    </row>
    <row r="15" s="30">
      <c r="A15" s="19" t="n">
        <v>14</v>
      </c>
      <c r="B15" s="21">
        <f>VLOOKUP(A15,持仓总表!A:B,2,0)</f>
        <v/>
      </c>
      <c r="C15" s="35">
        <f>(持仓总表!H16*持仓总表!F16-SUMIF(当日交易记录!B:B,B15,当日交易记录!F:F))/D15</f>
        <v/>
      </c>
      <c r="D15" s="19">
        <f>持仓总表!F16-SUMIF(当日交易记录!B:B,B15,当日交易记录!D:D)</f>
        <v/>
      </c>
      <c r="E15" s="22" t="n"/>
    </row>
    <row r="16" s="30">
      <c r="A16" s="19" t="n">
        <v>15</v>
      </c>
      <c r="B16" s="21">
        <f>VLOOKUP(A16,持仓总表!A:B,2,0)</f>
        <v/>
      </c>
      <c r="C16" s="35">
        <f>(持仓总表!H17*持仓总表!F17-SUMIF(当日交易记录!B:B,B16,当日交易记录!F:F))/D16</f>
        <v/>
      </c>
      <c r="D16" s="19">
        <f>持仓总表!F17-SUMIF(当日交易记录!B:B,B16,当日交易记录!D:D)</f>
        <v/>
      </c>
      <c r="E16" s="22" t="n"/>
    </row>
    <row r="17" s="30">
      <c r="A17" s="19" t="n">
        <v>16</v>
      </c>
      <c r="B17" s="21">
        <f>VLOOKUP(A17,持仓总表!A:B,2,0)</f>
        <v/>
      </c>
      <c r="C17" s="35">
        <f>(持仓总表!H18*持仓总表!F18-SUMIF(当日交易记录!B:B,B17,当日交易记录!F:F))/D17</f>
        <v/>
      </c>
      <c r="D17" s="19">
        <f>持仓总表!F18-SUMIF(当日交易记录!B:B,B17,当日交易记录!D:D)</f>
        <v/>
      </c>
      <c r="E17" s="22" t="n"/>
    </row>
    <row r="18" s="30">
      <c r="A18" s="19" t="n">
        <v>17</v>
      </c>
      <c r="B18" s="21">
        <f>VLOOKUP(A18,持仓总表!A:B,2,0)</f>
        <v/>
      </c>
      <c r="C18" s="35">
        <f>(持仓总表!H19*持仓总表!F19-SUMIF(当日交易记录!B:B,B18,当日交易记录!F:F))/D18</f>
        <v/>
      </c>
      <c r="D18" s="19">
        <f>持仓总表!F19-SUMIF(当日交易记录!B:B,B18,当日交易记录!D:D)</f>
        <v/>
      </c>
      <c r="E18" s="22" t="n"/>
    </row>
    <row r="19" s="30">
      <c r="A19" s="19" t="n">
        <v>18</v>
      </c>
      <c r="B19" s="21">
        <f>VLOOKUP(A19,持仓总表!A:B,2,0)</f>
        <v/>
      </c>
      <c r="C19" s="35">
        <f>(持仓总表!H20*持仓总表!F20-SUMIF(当日交易记录!B:B,B19,当日交易记录!F:F))/D19</f>
        <v/>
      </c>
      <c r="D19" s="19">
        <f>持仓总表!F20-SUMIF(当日交易记录!B:B,B19,当日交易记录!D:D)</f>
        <v/>
      </c>
      <c r="E19" s="22" t="n"/>
    </row>
    <row r="20" s="30">
      <c r="A20" s="19" t="n">
        <v>19</v>
      </c>
      <c r="B20" s="21">
        <f>VLOOKUP(A20,持仓总表!A:B,2,0)</f>
        <v/>
      </c>
      <c r="C20" s="35">
        <f>(持仓总表!H21*持仓总表!F21-SUMIF(当日交易记录!B:B,B20,当日交易记录!F:F))/D20</f>
        <v/>
      </c>
      <c r="D20" s="19">
        <f>持仓总表!F21-SUMIF(当日交易记录!B:B,B20,当日交易记录!D:D)</f>
        <v/>
      </c>
      <c r="E20" s="22" t="n"/>
    </row>
    <row r="21" s="30">
      <c r="A21" s="19" t="n">
        <v>20</v>
      </c>
      <c r="B21" s="21">
        <f>VLOOKUP(A21,持仓总表!A:B,2,0)</f>
        <v/>
      </c>
      <c r="C21" s="35">
        <f>(持仓总表!H22*持仓总表!F22-SUMIF(当日交易记录!B:B,B21,当日交易记录!F:F))/D21</f>
        <v/>
      </c>
      <c r="D21" s="19">
        <f>持仓总表!F23-SUMIF(当日交易记录!B:B,B21,当日交易记录!D:D)</f>
        <v/>
      </c>
      <c r="E21" s="22" t="n"/>
    </row>
    <row r="22" s="30">
      <c r="A22" s="19" t="n">
        <v>21</v>
      </c>
      <c r="B22" s="21">
        <f>VLOOKUP(A22,持仓总表!A:B,2,0)</f>
        <v/>
      </c>
      <c r="C22" s="35">
        <f>(持仓总表!H23*持仓总表!F23-SUMIF(当日交易记录!B:B,B22,当日交易记录!F:F))/D22</f>
        <v/>
      </c>
      <c r="D22" s="19">
        <f>持仓总表!F24-SUMIF(当日交易记录!B:B,B22,当日交易记录!D:D)</f>
        <v/>
      </c>
      <c r="E22" s="22" t="n"/>
    </row>
    <row r="23" s="30">
      <c r="A23" s="19" t="n">
        <v>22</v>
      </c>
      <c r="B23" s="19">
        <f>VLOOKUP(A23,持仓总表!A:B,2,0)</f>
        <v/>
      </c>
      <c r="C23" s="35">
        <f>(持仓总表!H25*持仓总表!F25-SUMIF(当日交易记录!B:B,B23,当日交易记录!F:F))/D23</f>
        <v/>
      </c>
      <c r="D23" s="19">
        <f>持仓总表!F25-SUMIF(当日交易记录!B:B,B23,当日交易记录!D:D)</f>
        <v/>
      </c>
      <c r="E23" s="22" t="n"/>
    </row>
    <row r="24" s="30">
      <c r="A24" s="19" t="n">
        <v>23</v>
      </c>
      <c r="B24" s="19">
        <f>VLOOKUP(A24,持仓总表!A:B,2,0)</f>
        <v/>
      </c>
      <c r="C24" s="35">
        <f>(持仓总表!H26*持仓总表!F26-SUMIF(当日交易记录!B:B,B24,当日交易记录!F:F))/D24</f>
        <v/>
      </c>
      <c r="D24" s="19">
        <f>持仓总表!F26-SUMIF(当日交易记录!B:B,B24,当日交易记录!D:D)</f>
        <v/>
      </c>
      <c r="E24" s="22" t="n"/>
    </row>
    <row r="25" s="30">
      <c r="A25" s="19" t="n">
        <v>24</v>
      </c>
      <c r="B25" s="19">
        <f>VLOOKUP(A25,持仓总表!A:B,2,0)</f>
        <v/>
      </c>
      <c r="C25" s="35">
        <f>(持仓总表!H27*持仓总表!F27-SUMIF(当日交易记录!B:B,B25,当日交易记录!F:F))/D25</f>
        <v/>
      </c>
      <c r="D25" s="19">
        <f>持仓总表!F27-SUMIF(当日交易记录!B:B,B25,当日交易记录!D:D)</f>
        <v/>
      </c>
      <c r="E25" s="22" t="n"/>
    </row>
    <row r="26" s="30">
      <c r="A26" s="19" t="n">
        <v>25</v>
      </c>
      <c r="B26" s="19">
        <f>VLOOKUP(A26,持仓总表!A:B,2,0)</f>
        <v/>
      </c>
      <c r="C26" s="35">
        <f>(持仓总表!H28*持仓总表!F28-SUMIF(当日交易记录!B:B,B26,当日交易记录!F:F))/D26</f>
        <v/>
      </c>
      <c r="D26" s="19">
        <f>持仓总表!F28-SUMIF(当日交易记录!B:B,B26,当日交易记录!D:D)</f>
        <v/>
      </c>
      <c r="E26" s="22" t="n"/>
    </row>
    <row r="27" s="30">
      <c r="A27" s="19" t="n">
        <v>26</v>
      </c>
      <c r="B27" s="19">
        <f>VLOOKUP(A27,持仓总表!A:B,2,0)</f>
        <v/>
      </c>
      <c r="C27" s="35">
        <f>(持仓总表!H29*持仓总表!F29-SUMIF(当日交易记录!B:B,B27,当日交易记录!F:F))/D27</f>
        <v/>
      </c>
      <c r="D27" s="19">
        <f>持仓总表!F29-SUMIF(当日交易记录!B:B,B27,当日交易记录!D:D)</f>
        <v/>
      </c>
      <c r="E27" s="22" t="n"/>
    </row>
    <row r="28" s="30">
      <c r="A28" s="19" t="n">
        <v>27</v>
      </c>
      <c r="B28" s="19">
        <f>VLOOKUP(A28,持仓总表!A:B,2,0)</f>
        <v/>
      </c>
      <c r="C28" s="35">
        <f>(持仓总表!H30*持仓总表!F30-SUMIF(当日交易记录!B:B,B28,当日交易记录!F:F))/D28</f>
        <v/>
      </c>
      <c r="D28" s="19">
        <f>持仓总表!F30-SUMIF(当日交易记录!B:B,B28,当日交易记录!D:D)</f>
        <v/>
      </c>
      <c r="E28" s="22" t="n"/>
    </row>
    <row r="29" s="30">
      <c r="A29" s="19" t="n">
        <v>28</v>
      </c>
      <c r="B29" s="19">
        <f>VLOOKUP(A29,持仓总表!A:B,2,0)</f>
        <v/>
      </c>
      <c r="C29" s="35">
        <f>(持仓总表!H31*持仓总表!F31-SUMIF(当日交易记录!B:B,B29,当日交易记录!F:F))/D29</f>
        <v/>
      </c>
      <c r="D29" s="19">
        <f>持仓总表!F31-SUMIF(当日交易记录!B:B,B29,当日交易记录!D:D)</f>
        <v/>
      </c>
      <c r="E29" s="22" t="n"/>
    </row>
    <row r="30" s="30">
      <c r="A30" s="19" t="n">
        <v>30</v>
      </c>
      <c r="B30" s="19">
        <f>VLOOKUP(A30,持仓总表!A:B,2,0)</f>
        <v/>
      </c>
      <c r="C30" s="35">
        <f>(持仓总表!H32*持仓总表!F32-SUMIF(当日交易记录!B:B,B30,当日交易记录!F:F))/D30</f>
        <v/>
      </c>
      <c r="D30" s="19">
        <f>持仓总表!F32-SUMIF(当日交易记录!B:B,B30,当日交易记录!D:D)</f>
        <v/>
      </c>
      <c r="E30" s="22" t="n"/>
    </row>
    <row r="31" s="30">
      <c r="A31" s="19" t="n">
        <v>31</v>
      </c>
      <c r="B31" s="19">
        <f>VLOOKUP(A31,持仓总表!A:B,2,0)</f>
        <v/>
      </c>
      <c r="C31" s="35">
        <f>(持仓总表!H33*持仓总表!F33-SUMIF(当日交易记录!B:B,B31,当日交易记录!F:F))/D31</f>
        <v/>
      </c>
      <c r="D31" s="19">
        <f>持仓总表!F33-SUMIF(当日交易记录!B:B,B31,当日交易记录!D:D)</f>
        <v/>
      </c>
      <c r="E31" s="22" t="n"/>
    </row>
    <row r="32" s="30">
      <c r="A32" s="19" t="n">
        <v>32</v>
      </c>
      <c r="B32" s="19">
        <f>VLOOKUP(A32,持仓总表!A:B,2,0)</f>
        <v/>
      </c>
      <c r="C32" s="35">
        <f>(持仓总表!H34*持仓总表!F34-SUMIF(当日交易记录!B:B,B32,当日交易记录!F:F))/D32</f>
        <v/>
      </c>
      <c r="D32" s="19">
        <f>持仓总表!F34-SUMIF(当日交易记录!B:B,B32,当日交易记录!D:D)</f>
        <v/>
      </c>
      <c r="E32" s="22" t="n"/>
    </row>
    <row r="33" s="30">
      <c r="A33" s="19" t="n">
        <v>33</v>
      </c>
      <c r="B33" s="19">
        <f>VLOOKUP(A33,持仓总表!A:B,2,0)</f>
        <v/>
      </c>
      <c r="C33" s="35">
        <f>(持仓总表!H35*持仓总表!F35-SUMIF(当日交易记录!B:B,B33,当日交易记录!F:F))/D33</f>
        <v/>
      </c>
      <c r="D33" s="19">
        <f>持仓总表!F35-SUMIF(当日交易记录!B:B,B33,当日交易记录!D:D)</f>
        <v/>
      </c>
      <c r="E33" s="22" t="n"/>
    </row>
    <row r="34" s="30">
      <c r="A34" s="19" t="n">
        <v>34</v>
      </c>
      <c r="B34" s="19">
        <f>VLOOKUP(A34,持仓总表!A:B,2,0)</f>
        <v/>
      </c>
      <c r="C34" s="35">
        <f>(持仓总表!H36*持仓总表!F36-SUMIF(当日交易记录!B:B,B34,当日交易记录!F:F))/D34</f>
        <v/>
      </c>
      <c r="D34" s="19">
        <f>持仓总表!F36-SUMIF(当日交易记录!B:B,B34,当日交易记录!D:D)</f>
        <v/>
      </c>
      <c r="E34" s="22" t="n"/>
    </row>
    <row r="35" s="30">
      <c r="A35" s="19" t="n">
        <v>35</v>
      </c>
      <c r="B35" s="19">
        <f>VLOOKUP(A35,持仓总表!A:B,2,0)</f>
        <v/>
      </c>
      <c r="C35" s="35">
        <f>(持仓总表!H37*持仓总表!F37-SUMIF(当日交易记录!B:B,B35,当日交易记录!F:F))/D35</f>
        <v/>
      </c>
      <c r="D35" s="19">
        <f>持仓总表!F37-SUMIF(当日交易记录!B:B,B35,当日交易记录!D:D)</f>
        <v/>
      </c>
      <c r="E35" s="22" t="n"/>
    </row>
    <row r="36" s="30">
      <c r="A36" s="19" t="n">
        <v>36</v>
      </c>
      <c r="B36" s="19">
        <f>VLOOKUP(A36,持仓总表!A:B,2,0)</f>
        <v/>
      </c>
      <c r="C36" s="35">
        <f>(持仓总表!H38*持仓总表!F38-SUMIF(当日交易记录!B:B,B36,当日交易记录!F:F))/D36</f>
        <v/>
      </c>
      <c r="D36" s="19">
        <f>持仓总表!F38-SUMIF(当日交易记录!B:B,B36,当日交易记录!D:D)</f>
        <v/>
      </c>
      <c r="E36" s="22" t="n"/>
    </row>
    <row r="37" s="30">
      <c r="A37" s="19" t="n">
        <v>37</v>
      </c>
      <c r="B37" s="19">
        <f>VLOOKUP(A37,持仓总表!A:B,2,0)</f>
        <v/>
      </c>
      <c r="C37" s="35">
        <f>(持仓总表!H39*持仓总表!F39-SUMIF(当日交易记录!B:B,B37,当日交易记录!F:F))/D37</f>
        <v/>
      </c>
      <c r="D37" s="19">
        <f>持仓总表!F39-SUMIF(当日交易记录!B:B,B37,当日交易记录!D:D)</f>
        <v/>
      </c>
      <c r="E37" s="22" t="n"/>
    </row>
    <row r="38" s="30">
      <c r="A38" s="19" t="n">
        <v>38</v>
      </c>
      <c r="B38" s="19">
        <f>VLOOKUP(A38,持仓总表!A:B,2,0)</f>
        <v/>
      </c>
      <c r="C38" s="35">
        <f>(持仓总表!H40*持仓总表!F40-SUMIF(当日交易记录!B:B,B38,当日交易记录!F:F))/D38</f>
        <v/>
      </c>
      <c r="D38" s="19">
        <f>持仓总表!F40-SUMIF(当日交易记录!B:B,B38,当日交易记录!D:D)</f>
        <v/>
      </c>
      <c r="E38" s="22" t="n"/>
    </row>
    <row r="39" s="30">
      <c r="A39" s="19" t="n">
        <v>39</v>
      </c>
      <c r="B39" s="19">
        <f>VLOOKUP(A39,持仓总表!A:B,2,0)</f>
        <v/>
      </c>
      <c r="C39" s="35">
        <f>(持仓总表!H41*持仓总表!F41-SUMIF(当日交易记录!B:B,B39,当日交易记录!F:F))/D39</f>
        <v/>
      </c>
      <c r="D39" s="19">
        <f>持仓总表!F41-SUMIF(当日交易记录!B:B,B39,当日交易记录!D:D)</f>
        <v/>
      </c>
      <c r="E39" s="22" t="n"/>
    </row>
    <row r="40" s="30">
      <c r="A40" s="19" t="n">
        <v>40</v>
      </c>
      <c r="B40" s="19">
        <f>VLOOKUP(A40,持仓总表!A:B,2,0)</f>
        <v/>
      </c>
      <c r="C40" s="35">
        <f>(持仓总表!H42*持仓总表!F42-SUMIF(当日交易记录!B:B,B40,当日交易记录!F:F))/D40</f>
        <v/>
      </c>
      <c r="D40" s="19">
        <f>持仓总表!F42-SUMIF(当日交易记录!B:B,B40,当日交易记录!D:D)</f>
        <v/>
      </c>
      <c r="E40" s="22" t="n"/>
    </row>
    <row r="41" s="30">
      <c r="A41" s="19" t="n">
        <v>41</v>
      </c>
      <c r="B41" s="19">
        <f>VLOOKUP(A41,持仓总表!A:B,2,0)</f>
        <v/>
      </c>
      <c r="C41" s="35">
        <f>(持仓总表!H43*持仓总表!F43-SUMIF(当日交易记录!B:B,B41,当日交易记录!F:F))/D41</f>
        <v/>
      </c>
      <c r="D41" s="19">
        <f>持仓总表!F43-SUMIF(当日交易记录!B:B,B41,当日交易记录!D:D)</f>
        <v/>
      </c>
      <c r="E41" s="22" t="n"/>
    </row>
    <row r="42" s="30">
      <c r="A42" s="19" t="n">
        <v>42</v>
      </c>
      <c r="B42" s="19">
        <f>VLOOKUP(A42,持仓总表!A:B,2,0)</f>
        <v/>
      </c>
      <c r="C42" s="35">
        <f>(持仓总表!H44*持仓总表!F44-SUMIF(当日交易记录!B:B,B42,当日交易记录!F:F))/D42</f>
        <v/>
      </c>
      <c r="D42" s="19">
        <f>持仓总表!F44-SUMIF(当日交易记录!B:B,B42,当日交易记录!D:D)</f>
        <v/>
      </c>
      <c r="E42" s="22" t="n"/>
    </row>
    <row r="43" s="30">
      <c r="A43" s="19" t="n">
        <v>43</v>
      </c>
      <c r="B43" s="19">
        <f>VLOOKUP(A43,持仓总表!A:B,2,0)</f>
        <v/>
      </c>
      <c r="C43" s="35">
        <f>(持仓总表!H45*持仓总表!F45-SUMIF(当日交易记录!B:B,B43,当日交易记录!F:F))/D43</f>
        <v/>
      </c>
      <c r="D43" s="19">
        <f>持仓总表!F45-SUMIF(当日交易记录!B:B,B43,当日交易记录!D:D)</f>
        <v/>
      </c>
      <c r="E43" s="22" t="n"/>
    </row>
    <row r="44" s="30">
      <c r="A44" s="19" t="n">
        <v>44</v>
      </c>
      <c r="B44" s="19">
        <f>VLOOKUP(A44,持仓总表!A:B,2,0)</f>
        <v/>
      </c>
      <c r="C44" s="35">
        <f>(持仓总表!H46*持仓总表!F46-SUMIF(当日交易记录!B:B,B44,当日交易记录!F:F))/D44</f>
        <v/>
      </c>
      <c r="D44" s="19">
        <f>持仓总表!F46-SUMIF(当日交易记录!B:B,B44,当日交易记录!D:D)</f>
        <v/>
      </c>
      <c r="E44" s="22" t="n"/>
    </row>
    <row r="45" s="30">
      <c r="A45" s="19" t="n">
        <v>45</v>
      </c>
      <c r="B45" s="19">
        <f>VLOOKUP(A45,持仓总表!A:B,2,0)</f>
        <v/>
      </c>
      <c r="C45" s="35">
        <f>(持仓总表!H47*持仓总表!F47-SUMIF(当日交易记录!B:B,B45,当日交易记录!F:F))/D45</f>
        <v/>
      </c>
      <c r="D45" s="19">
        <f>持仓总表!F47-SUMIF(当日交易记录!B:B,B45,当日交易记录!D:D)</f>
        <v/>
      </c>
      <c r="E45" s="22" t="n"/>
    </row>
    <row r="46" s="30">
      <c r="A46" s="19" t="n">
        <v>46</v>
      </c>
      <c r="B46" s="19">
        <f>VLOOKUP(A46,持仓总表!A:B,2,0)</f>
        <v/>
      </c>
      <c r="C46" s="35">
        <f>(持仓总表!H48*持仓总表!F48-SUMIF(当日交易记录!B:B,B46,当日交易记录!F:F))/D46</f>
        <v/>
      </c>
      <c r="D46" s="19">
        <f>持仓总表!F48-SUMIF(当日交易记录!B:B,B46,当日交易记录!D:D)</f>
        <v/>
      </c>
      <c r="E46" s="22" t="n"/>
    </row>
    <row r="47" s="30">
      <c r="A47" s="19" t="n">
        <v>47</v>
      </c>
      <c r="B47" s="19">
        <f>VLOOKUP(A47,持仓总表!A:B,2,0)</f>
        <v/>
      </c>
      <c r="C47" s="35">
        <f>(持仓总表!H49*持仓总表!F49-SUMIF(当日交易记录!B:B,B47,当日交易记录!F:F))/D47</f>
        <v/>
      </c>
      <c r="D47" s="19">
        <f>持仓总表!F49-SUMIF(当日交易记录!B:B,B47,当日交易记录!D:D)</f>
        <v/>
      </c>
      <c r="E47" s="22" t="n"/>
    </row>
    <row r="48" s="30">
      <c r="A48" s="19" t="n">
        <v>48</v>
      </c>
      <c r="B48" s="19">
        <f>VLOOKUP(A48,持仓总表!A:B,2,0)</f>
        <v/>
      </c>
      <c r="C48" s="35">
        <f>(持仓总表!H50*持仓总表!F50-SUMIF(当日交易记录!B:B,B48,当日交易记录!F:F))/D48</f>
        <v/>
      </c>
      <c r="D48" s="19">
        <f>持仓总表!F50-SUMIF(当日交易记录!B:B,B48,当日交易记录!D:D)</f>
        <v/>
      </c>
      <c r="E48" s="22" t="n"/>
    </row>
    <row r="49" s="30">
      <c r="A49" s="19" t="n">
        <v>49</v>
      </c>
      <c r="B49" s="19">
        <f>VLOOKUP(A49,持仓总表!A:B,2,0)</f>
        <v/>
      </c>
      <c r="C49" s="35">
        <f>(持仓总表!H51*持仓总表!F51-SUMIF(当日交易记录!B:B,B49,当日交易记录!F:F))/D49</f>
        <v/>
      </c>
      <c r="D49" s="19">
        <f>持仓总表!F51-SUMIF(当日交易记录!B:B,B49,当日交易记录!D:D)</f>
        <v/>
      </c>
      <c r="E49" s="22" t="n"/>
    </row>
    <row r="50" s="30">
      <c r="A50" s="19" t="n">
        <v>50</v>
      </c>
      <c r="B50" s="19">
        <f>VLOOKUP(A50,持仓总表!A:B,2,0)</f>
        <v/>
      </c>
      <c r="C50" s="35">
        <f>(持仓总表!H52*持仓总表!F52-SUMIF(当日交易记录!B:B,B50,当日交易记录!F:F))/D50</f>
        <v/>
      </c>
      <c r="D50" s="19">
        <f>持仓总表!F52-SUMIF(当日交易记录!B:B,B50,当日交易记录!D:D)</f>
        <v/>
      </c>
      <c r="E50" s="22" t="n"/>
    </row>
    <row r="51" s="30">
      <c r="A51" s="19" t="n">
        <v>51</v>
      </c>
      <c r="B51" s="19">
        <f>VLOOKUP(A51,持仓总表!A:B,2,0)</f>
        <v/>
      </c>
      <c r="C51" s="35">
        <f>(持仓总表!H53*持仓总表!F53-SUMIF(当日交易记录!B:B,B51,当日交易记录!F:F))/D51</f>
        <v/>
      </c>
      <c r="D51" s="19">
        <f>持仓总表!F53-SUMIF(当日交易记录!B:B,B51,当日交易记录!D:D)</f>
        <v/>
      </c>
      <c r="E51" s="22" t="n"/>
    </row>
    <row r="52" s="30">
      <c r="A52" s="19" t="n">
        <v>52</v>
      </c>
      <c r="B52" s="19">
        <f>VLOOKUP(A52,持仓总表!A:B,2,0)</f>
        <v/>
      </c>
      <c r="C52" s="35">
        <f>(持仓总表!H54*持仓总表!F54-SUMIF(当日交易记录!B:B,B52,当日交易记录!F:F))/D52</f>
        <v/>
      </c>
      <c r="D52" s="19">
        <f>持仓总表!F54-SUMIF(当日交易记录!B:B,B52,当日交易记录!D:D)</f>
        <v/>
      </c>
      <c r="E52" s="22" t="n"/>
    </row>
    <row r="53" s="30">
      <c r="A53" s="19" t="n">
        <v>53</v>
      </c>
      <c r="B53" s="19">
        <f>VLOOKUP(A53,持仓总表!A:B,2,0)</f>
        <v/>
      </c>
      <c r="C53" s="35">
        <f>(持仓总表!H55*持仓总表!F55-SUMIF(当日交易记录!B:B,B53,当日交易记录!F:F))/D53</f>
        <v/>
      </c>
      <c r="D53" s="19">
        <f>持仓总表!F55-SUMIF(当日交易记录!B:B,B53,当日交易记录!D:D)</f>
        <v/>
      </c>
      <c r="E53" s="22" t="n"/>
    </row>
    <row r="54" s="30">
      <c r="A54" s="19" t="n">
        <v>54</v>
      </c>
      <c r="B54" s="19">
        <f>VLOOKUP(A54,持仓总表!A:B,2,0)</f>
        <v/>
      </c>
      <c r="C54" s="35">
        <f>(持仓总表!H56*持仓总表!F56-SUMIF(当日交易记录!B:B,B54,当日交易记录!F:F))/D54</f>
        <v/>
      </c>
      <c r="D54" s="19">
        <f>持仓总表!F56-SUMIF(当日交易记录!B:B,B54,当日交易记录!D:D)</f>
        <v/>
      </c>
      <c r="E54" s="22" t="n"/>
    </row>
    <row r="55" s="30">
      <c r="A55" s="19" t="n">
        <v>55</v>
      </c>
      <c r="B55" s="19">
        <f>VLOOKUP(A55,持仓总表!A:B,2,0)</f>
        <v/>
      </c>
      <c r="C55" s="35">
        <f>(持仓总表!H57*持仓总表!F57-SUMIF(当日交易记录!B:B,B55,当日交易记录!F:F))/D55</f>
        <v/>
      </c>
      <c r="D55" s="19">
        <f>持仓总表!F57-SUMIF(当日交易记录!B:B,B55,当日交易记录!D:D)</f>
        <v/>
      </c>
      <c r="E55" s="22" t="n"/>
    </row>
    <row r="56" s="30">
      <c r="A56" s="19" t="n">
        <v>56</v>
      </c>
      <c r="B56" s="19">
        <f>VLOOKUP(A56,持仓总表!A:B,2,0)</f>
        <v/>
      </c>
      <c r="C56" s="35">
        <f>(持仓总表!H58*持仓总表!F58-SUMIF(当日交易记录!B:B,B56,当日交易记录!F:F))/D56</f>
        <v/>
      </c>
      <c r="D56" s="19">
        <f>持仓总表!F58-SUMIF(当日交易记录!B:B,B56,当日交易记录!D:D)</f>
        <v/>
      </c>
      <c r="E56" s="22" t="n"/>
    </row>
    <row r="57" s="30">
      <c r="A57" s="19" t="n">
        <v>57</v>
      </c>
      <c r="B57" s="19">
        <f>VLOOKUP(A57,持仓总表!A:B,2,0)</f>
        <v/>
      </c>
      <c r="C57" s="35">
        <f>(持仓总表!H59*持仓总表!F59-SUMIF(当日交易记录!B:B,B57,当日交易记录!F:F))/D57</f>
        <v/>
      </c>
      <c r="D57" s="19">
        <f>持仓总表!F59-SUMIF(当日交易记录!B:B,B57,当日交易记录!D:D)</f>
        <v/>
      </c>
      <c r="E57" s="22" t="n"/>
    </row>
    <row r="58" s="30">
      <c r="A58" s="19" t="n">
        <v>58</v>
      </c>
      <c r="B58" s="19">
        <f>VLOOKUP(A58,持仓总表!A:B,2,0)</f>
        <v/>
      </c>
      <c r="C58" s="35">
        <f>(持仓总表!H60*持仓总表!F60-SUMIF(当日交易记录!B:B,B58,当日交易记录!F:F))/D58</f>
        <v/>
      </c>
      <c r="D58" s="19">
        <f>持仓总表!F60-SUMIF(当日交易记录!B:B,B58,当日交易记录!D:D)</f>
        <v/>
      </c>
      <c r="E58" s="22" t="n"/>
    </row>
    <row r="59" s="30">
      <c r="A59" s="19" t="n">
        <v>59</v>
      </c>
      <c r="B59" s="19">
        <f>VLOOKUP(A59,持仓总表!A:B,2,0)</f>
        <v/>
      </c>
      <c r="C59" s="35">
        <f>(持仓总表!H61*持仓总表!F61-SUMIF(当日交易记录!B:B,B59,当日交易记录!F:F))/D59</f>
        <v/>
      </c>
      <c r="D59" s="19">
        <f>持仓总表!F61-SUMIF(当日交易记录!B:B,B59,当日交易记录!D:D)</f>
        <v/>
      </c>
      <c r="E59" s="22" t="n"/>
    </row>
    <row r="60" s="30">
      <c r="A60" s="19" t="n">
        <v>60</v>
      </c>
      <c r="B60" s="19">
        <f>VLOOKUP(A60,持仓总表!A:B,2,0)</f>
        <v/>
      </c>
      <c r="C60" s="35">
        <f>(持仓总表!H62*持仓总表!F62-SUMIF(当日交易记录!B:B,B60,当日交易记录!F:F))/D60</f>
        <v/>
      </c>
      <c r="D60" s="19">
        <f>持仓总表!F62-SUMIF(当日交易记录!B:B,B60,当日交易记录!D:D)</f>
        <v/>
      </c>
      <c r="E60" s="22" t="n"/>
    </row>
    <row r="61" s="30">
      <c r="A61" s="19" t="n">
        <v>61</v>
      </c>
      <c r="B61" s="19">
        <f>VLOOKUP(A61,持仓总表!A:B,2,0)</f>
        <v/>
      </c>
      <c r="C61" s="35">
        <f>(持仓总表!H63*持仓总表!F63-SUMIF(当日交易记录!B:B,B61,当日交易记录!F:F))/D61</f>
        <v/>
      </c>
      <c r="D61" s="19">
        <f>持仓总表!F63-SUMIF(当日交易记录!B:B,B61,当日交易记录!D:D)</f>
        <v/>
      </c>
      <c r="E61" s="22" t="n"/>
    </row>
    <row r="62" s="30">
      <c r="A62" s="19" t="n">
        <v>62</v>
      </c>
      <c r="B62" s="19">
        <f>VLOOKUP(A62,持仓总表!A:B,2,0)</f>
        <v/>
      </c>
      <c r="C62" s="35">
        <f>(持仓总表!H64*持仓总表!F64-SUMIF(当日交易记录!B:B,B62,当日交易记录!F:F))/D62</f>
        <v/>
      </c>
      <c r="D62" s="19">
        <f>持仓总表!F64-SUMIF(当日交易记录!B:B,B62,当日交易记录!D:D)</f>
        <v/>
      </c>
      <c r="E62" s="22" t="n"/>
    </row>
    <row r="63" s="30">
      <c r="A63" s="19" t="n">
        <v>63</v>
      </c>
      <c r="B63" s="19">
        <f>VLOOKUP(A63,持仓总表!A:B,2,0)</f>
        <v/>
      </c>
      <c r="C63" s="35">
        <f>(持仓总表!H65*持仓总表!F65-SUMIF(当日交易记录!B:B,B63,当日交易记录!F:F))/D63</f>
        <v/>
      </c>
      <c r="D63" s="19">
        <f>持仓总表!F65-SUMIF(当日交易记录!B:B,B63,当日交易记录!D:D)</f>
        <v/>
      </c>
      <c r="E63" s="22" t="n"/>
    </row>
    <row r="64" s="30">
      <c r="A64" s="19" t="n">
        <v>64</v>
      </c>
      <c r="B64" s="19">
        <f>VLOOKUP(A64,持仓总表!A:B,2,0)</f>
        <v/>
      </c>
      <c r="C64" s="35">
        <f>(持仓总表!H66*持仓总表!F66-SUMIF(当日交易记录!B:B,B64,当日交易记录!F:F))/D64</f>
        <v/>
      </c>
      <c r="D64" s="19">
        <f>持仓总表!F66-SUMIF(当日交易记录!B:B,B64,当日交易记录!D:D)</f>
        <v/>
      </c>
      <c r="E64" s="22" t="n"/>
    </row>
    <row r="65" s="30">
      <c r="A65" s="19" t="n">
        <v>65</v>
      </c>
      <c r="B65" s="19">
        <f>VLOOKUP(A65,持仓总表!A:B,2,0)</f>
        <v/>
      </c>
      <c r="C65" s="35">
        <f>(持仓总表!H67*持仓总表!F67-SUMIF(当日交易记录!B:B,B65,当日交易记录!F:F))/D65</f>
        <v/>
      </c>
      <c r="D65" s="19">
        <f>持仓总表!F67-SUMIF(当日交易记录!B:B,B65,当日交易记录!D:D)</f>
        <v/>
      </c>
      <c r="E65" s="22" t="n"/>
    </row>
    <row r="66" s="30">
      <c r="A66" s="19" t="n">
        <v>66</v>
      </c>
      <c r="B66" s="19">
        <f>VLOOKUP(A66,持仓总表!A:B,2,0)</f>
        <v/>
      </c>
      <c r="C66" s="35">
        <f>(持仓总表!H68*持仓总表!F68-SUMIF(当日交易记录!B:B,B66,当日交易记录!F:F))/D66</f>
        <v/>
      </c>
      <c r="D66" s="19">
        <f>持仓总表!F68-SUMIF(当日交易记录!B:B,B66,当日交易记录!D:D)</f>
        <v/>
      </c>
      <c r="E66" s="22" t="n"/>
    </row>
    <row r="67" s="30">
      <c r="A67" s="19" t="n">
        <v>67</v>
      </c>
      <c r="B67" s="19">
        <f>VLOOKUP(A67,持仓总表!A:B,2,0)</f>
        <v/>
      </c>
      <c r="C67" s="35">
        <f>(持仓总表!H69*持仓总表!F69-SUMIF(当日交易记录!B:B,B67,当日交易记录!F:F))/D67</f>
        <v/>
      </c>
      <c r="D67" s="19">
        <f>持仓总表!F69-SUMIF(当日交易记录!B:B,B67,当日交易记录!D:D)</f>
        <v/>
      </c>
      <c r="E67" s="22" t="n"/>
    </row>
    <row r="68" s="30">
      <c r="A68" s="19" t="n">
        <v>68</v>
      </c>
      <c r="B68" s="19">
        <f>VLOOKUP(A68,持仓总表!A:B,2,0)</f>
        <v/>
      </c>
      <c r="C68" s="35">
        <f>(持仓总表!H70*持仓总表!F70-SUMIF(当日交易记录!B:B,B68,当日交易记录!F:F))/D68</f>
        <v/>
      </c>
      <c r="D68" s="19">
        <f>持仓总表!F70-SUMIF(当日交易记录!B:B,B68,当日交易记录!D:D)</f>
        <v/>
      </c>
      <c r="E68" s="22" t="n"/>
    </row>
    <row r="69" s="30">
      <c r="A69" s="19" t="n">
        <v>69</v>
      </c>
      <c r="B69" s="19">
        <f>VLOOKUP(A69,持仓总表!A:B,2,0)</f>
        <v/>
      </c>
      <c r="C69" s="35">
        <f>(持仓总表!H71*持仓总表!F71-SUMIF(当日交易记录!B:B,B69,当日交易记录!F:F))/D69</f>
        <v/>
      </c>
      <c r="D69" s="19">
        <f>持仓总表!F71-SUMIF(当日交易记录!B:B,B69,当日交易记录!D:D)</f>
        <v/>
      </c>
      <c r="E69" s="22" t="n"/>
    </row>
    <row r="70" s="30">
      <c r="A70" s="19" t="n">
        <v>70</v>
      </c>
      <c r="B70" s="19">
        <f>VLOOKUP(A70,持仓总表!A:B,2,0)</f>
        <v/>
      </c>
      <c r="C70" s="35">
        <f>(持仓总表!H72*持仓总表!F72-SUMIF(当日交易记录!B:B,B70,当日交易记录!F:F))/D70</f>
        <v/>
      </c>
      <c r="D70" s="19">
        <f>持仓总表!F72-SUMIF(当日交易记录!B:B,B70,当日交易记录!D:D)</f>
        <v/>
      </c>
      <c r="E70" s="22" t="n"/>
    </row>
    <row r="71" s="30">
      <c r="A71" s="19" t="n">
        <v>71</v>
      </c>
      <c r="B71" s="19">
        <f>VLOOKUP(A71,持仓总表!A:B,2,0)</f>
        <v/>
      </c>
      <c r="C71" s="35">
        <f>(持仓总表!H73*持仓总表!F73-SUMIF(当日交易记录!B:B,B71,当日交易记录!F:F))/D71</f>
        <v/>
      </c>
      <c r="D71" s="19">
        <f>持仓总表!F73-SUMIF(当日交易记录!B:B,B71,当日交易记录!D:D)</f>
        <v/>
      </c>
      <c r="E71" s="22" t="n"/>
    </row>
    <row r="72" s="30">
      <c r="A72" s="19" t="n">
        <v>72</v>
      </c>
      <c r="B72" s="19">
        <f>VLOOKUP(A72,持仓总表!A:B,2,0)</f>
        <v/>
      </c>
      <c r="C72" s="35">
        <f>(持仓总表!H74*持仓总表!F74-SUMIF(当日交易记录!B:B,B72,当日交易记录!F:F))/D72</f>
        <v/>
      </c>
      <c r="D72" s="19">
        <f>持仓总表!F74-SUMIF(当日交易记录!B:B,B72,当日交易记录!D:D)</f>
        <v/>
      </c>
      <c r="E72" s="22" t="n"/>
    </row>
    <row r="73" s="30">
      <c r="A73" s="19" t="n">
        <v>73</v>
      </c>
      <c r="B73" s="19">
        <f>VLOOKUP(A73,持仓总表!A:B,2,0)</f>
        <v/>
      </c>
      <c r="C73" s="35">
        <f>(持仓总表!H75*持仓总表!F75-SUMIF(当日交易记录!B:B,B73,当日交易记录!F:F))/D73</f>
        <v/>
      </c>
      <c r="D73" s="19">
        <f>持仓总表!F75-SUMIF(当日交易记录!B:B,B73,当日交易记录!D:D)</f>
        <v/>
      </c>
      <c r="E73" s="22" t="n"/>
    </row>
    <row r="74" s="30">
      <c r="A74" s="19" t="n">
        <v>74</v>
      </c>
      <c r="B74" s="19">
        <f>VLOOKUP(A74,持仓总表!A:B,2,0)</f>
        <v/>
      </c>
      <c r="C74" s="35">
        <f>(持仓总表!H76*持仓总表!F76-SUMIF(当日交易记录!B:B,B74,当日交易记录!F:F))/D74</f>
        <v/>
      </c>
      <c r="D74" s="19">
        <f>持仓总表!F76-SUMIF(当日交易记录!B:B,B74,当日交易记录!D:D)</f>
        <v/>
      </c>
      <c r="E74" s="22" t="n"/>
    </row>
    <row r="75" s="30">
      <c r="A75" s="19" t="n">
        <v>75</v>
      </c>
      <c r="B75" s="19">
        <f>VLOOKUP(A75,持仓总表!A:B,2,0)</f>
        <v/>
      </c>
      <c r="C75" s="35">
        <f>(持仓总表!H77*持仓总表!F77-SUMIF(当日交易记录!B:B,B75,当日交易记录!F:F))/D75</f>
        <v/>
      </c>
      <c r="D75" s="19">
        <f>持仓总表!F77-SUMIF(当日交易记录!B:B,B75,当日交易记录!D:D)</f>
        <v/>
      </c>
      <c r="E75" s="22" t="n"/>
    </row>
    <row r="76" s="30">
      <c r="A76" s="19" t="n">
        <v>76</v>
      </c>
      <c r="B76" s="19">
        <f>VLOOKUP(A76,持仓总表!A:B,2,0)</f>
        <v/>
      </c>
      <c r="C76" s="35">
        <f>(持仓总表!H78*持仓总表!F78-SUMIF(当日交易记录!B:B,B76,当日交易记录!F:F))/D76</f>
        <v/>
      </c>
      <c r="D76" s="19">
        <f>持仓总表!F78-SUMIF(当日交易记录!B:B,B76,当日交易记录!D:D)</f>
        <v/>
      </c>
      <c r="E76" s="22" t="n"/>
    </row>
    <row r="77" s="30">
      <c r="A77" s="19" t="n">
        <v>77</v>
      </c>
      <c r="B77" s="19">
        <f>VLOOKUP(A77,持仓总表!A:B,2,0)</f>
        <v/>
      </c>
      <c r="C77" s="35">
        <f>(持仓总表!H79*持仓总表!F79-SUMIF(当日交易记录!B:B,B77,当日交易记录!F:F))/D77</f>
        <v/>
      </c>
      <c r="D77" s="19">
        <f>持仓总表!F79-SUMIF(当日交易记录!B:B,B77,当日交易记录!D:D)</f>
        <v/>
      </c>
      <c r="E77" s="22" t="n"/>
    </row>
    <row r="78" s="30">
      <c r="A78" s="19" t="n">
        <v>78</v>
      </c>
      <c r="B78" s="19">
        <f>VLOOKUP(A78,持仓总表!A:B,2,0)</f>
        <v/>
      </c>
      <c r="C78" s="35">
        <f>(持仓总表!H80*持仓总表!F80-SUMIF(当日交易记录!B:B,B78,当日交易记录!F:F))/D78</f>
        <v/>
      </c>
      <c r="D78" s="19">
        <f>持仓总表!F80-SUMIF(当日交易记录!B:B,B78,当日交易记录!D:D)</f>
        <v/>
      </c>
      <c r="E78" s="22" t="n"/>
    </row>
    <row r="79" s="30">
      <c r="A79" s="19" t="n">
        <v>79</v>
      </c>
      <c r="B79" s="19">
        <f>VLOOKUP(A79,持仓总表!A:B,2,0)</f>
        <v/>
      </c>
      <c r="C79" s="35">
        <f>(持仓总表!H81*持仓总表!F81-SUMIF(当日交易记录!B:B,B79,当日交易记录!F:F))/D79</f>
        <v/>
      </c>
      <c r="D79" s="19">
        <f>持仓总表!F81-SUMIF(当日交易记录!B:B,B79,当日交易记录!D:D)</f>
        <v/>
      </c>
      <c r="E79" s="22" t="n"/>
    </row>
    <row r="80" s="30">
      <c r="A80" s="19" t="n">
        <v>80</v>
      </c>
      <c r="B80" s="19">
        <f>VLOOKUP(A80,持仓总表!A:B,2,0)</f>
        <v/>
      </c>
      <c r="C80" s="35">
        <f>(持仓总表!H82*持仓总表!F82-SUMIF(当日交易记录!B:B,B80,当日交易记录!F:F))/D80</f>
        <v/>
      </c>
      <c r="D80" s="19">
        <f>持仓总表!F82-SUMIF(当日交易记录!B:B,B80,当日交易记录!D:D)</f>
        <v/>
      </c>
      <c r="E80" s="22" t="n"/>
    </row>
    <row r="81" s="30">
      <c r="A81" s="19" t="n">
        <v>81</v>
      </c>
      <c r="B81" s="19">
        <f>VLOOKUP(A81,持仓总表!A:B,2,0)</f>
        <v/>
      </c>
      <c r="C81" s="35">
        <f>(持仓总表!H83*持仓总表!F83-SUMIF(当日交易记录!B:B,B81,当日交易记录!F:F))/D81</f>
        <v/>
      </c>
      <c r="D81" s="19">
        <f>持仓总表!F83-SUMIF(当日交易记录!B:B,B81,当日交易记录!D:D)</f>
        <v/>
      </c>
      <c r="E81" s="22" t="n"/>
    </row>
    <row r="82" s="30">
      <c r="A82" s="19" t="n">
        <v>82</v>
      </c>
      <c r="B82" s="19">
        <f>VLOOKUP(A82,持仓总表!A:B,2,0)</f>
        <v/>
      </c>
      <c r="C82" s="35">
        <f>(持仓总表!H84*持仓总表!F84-SUMIF(当日交易记录!B:B,B82,当日交易记录!F:F))/D82</f>
        <v/>
      </c>
      <c r="D82" s="19">
        <f>持仓总表!F84-SUMIF(当日交易记录!B:B,B82,当日交易记录!D:D)</f>
        <v/>
      </c>
      <c r="E82" s="22" t="n"/>
    </row>
    <row r="83" s="30">
      <c r="A83" s="19" t="n">
        <v>83</v>
      </c>
      <c r="B83" s="19">
        <f>VLOOKUP(A83,持仓总表!A:B,2,0)</f>
        <v/>
      </c>
      <c r="C83" s="35">
        <f>(持仓总表!H85*持仓总表!F85-SUMIF(当日交易记录!B:B,B83,当日交易记录!F:F))/D83</f>
        <v/>
      </c>
      <c r="D83" s="19">
        <f>持仓总表!F85-SUMIF(当日交易记录!B:B,B83,当日交易记录!D:D)</f>
        <v/>
      </c>
      <c r="E83" s="22" t="n"/>
    </row>
    <row r="84" s="30">
      <c r="A84" s="19" t="n">
        <v>84</v>
      </c>
      <c r="B84" s="19">
        <f>VLOOKUP(A84,持仓总表!A:B,2,0)</f>
        <v/>
      </c>
      <c r="C84" s="35">
        <f>(持仓总表!H86*持仓总表!F86-SUMIF(当日交易记录!B:B,B84,当日交易记录!F:F))/D84</f>
        <v/>
      </c>
      <c r="D84" s="19">
        <f>持仓总表!F86-SUMIF(当日交易记录!B:B,B84,当日交易记录!D:D)</f>
        <v/>
      </c>
      <c r="E84" s="22" t="n"/>
    </row>
    <row r="85" s="30">
      <c r="A85" s="19" t="n">
        <v>85</v>
      </c>
      <c r="B85" s="19">
        <f>VLOOKUP(A85,持仓总表!A:B,2,0)</f>
        <v/>
      </c>
      <c r="C85" s="35">
        <f>(持仓总表!H87*持仓总表!F87-SUMIF(当日交易记录!B:B,B85,当日交易记录!F:F))/D85</f>
        <v/>
      </c>
      <c r="D85" s="19">
        <f>持仓总表!F87-SUMIF(当日交易记录!B:B,B85,当日交易记录!D:D)</f>
        <v/>
      </c>
      <c r="E85" s="22" t="n"/>
    </row>
    <row r="86" s="30">
      <c r="A86" s="19" t="n">
        <v>86</v>
      </c>
      <c r="B86" s="19">
        <f>VLOOKUP(A86,持仓总表!A:B,2,0)</f>
        <v/>
      </c>
      <c r="C86" s="35">
        <f>(持仓总表!H88*持仓总表!F88-SUMIF(当日交易记录!B:B,B86,当日交易记录!F:F))/D86</f>
        <v/>
      </c>
      <c r="D86" s="19">
        <f>持仓总表!F88-SUMIF(当日交易记录!B:B,B86,当日交易记录!D:D)</f>
        <v/>
      </c>
      <c r="E86" s="22" t="n"/>
    </row>
    <row r="87" s="30">
      <c r="A87" s="19" t="n">
        <v>87</v>
      </c>
      <c r="B87" s="19">
        <f>VLOOKUP(A87,持仓总表!A:B,2,0)</f>
        <v/>
      </c>
      <c r="C87" s="35">
        <f>(持仓总表!H89*持仓总表!F89-SUMIF(当日交易记录!B:B,B87,当日交易记录!F:F))/D87</f>
        <v/>
      </c>
      <c r="D87" s="19">
        <f>持仓总表!F89-SUMIF(当日交易记录!B:B,B87,当日交易记录!D:D)</f>
        <v/>
      </c>
      <c r="E87" s="22" t="n"/>
    </row>
    <row r="88" s="30">
      <c r="A88" s="19" t="n">
        <v>88</v>
      </c>
      <c r="B88" s="19">
        <f>VLOOKUP(A88,持仓总表!A:B,2,0)</f>
        <v/>
      </c>
      <c r="C88" s="35">
        <f>(持仓总表!H90*持仓总表!F90-SUMIF(当日交易记录!B:B,B88,当日交易记录!F:F))/D88</f>
        <v/>
      </c>
      <c r="D88" s="19">
        <f>持仓总表!F90-SUMIF(当日交易记录!B:B,B88,当日交易记录!D:D)</f>
        <v/>
      </c>
      <c r="E88" s="22" t="n"/>
    </row>
    <row r="89" s="30">
      <c r="A89" s="19" t="n">
        <v>89</v>
      </c>
      <c r="B89" s="19">
        <f>VLOOKUP(A89,持仓总表!A:B,2,0)</f>
        <v/>
      </c>
      <c r="C89" s="35">
        <f>(持仓总表!H91*持仓总表!F91-SUMIF(当日交易记录!B:B,B89,当日交易记录!F:F))/D89</f>
        <v/>
      </c>
      <c r="D89" s="19">
        <f>持仓总表!F91-SUMIF(当日交易记录!B:B,B89,当日交易记录!D:D)</f>
        <v/>
      </c>
      <c r="E89" s="22" t="n"/>
    </row>
    <row r="90" s="30">
      <c r="A90" s="19" t="n">
        <v>90</v>
      </c>
      <c r="B90" s="19">
        <f>VLOOKUP(A90,持仓总表!A:B,2,0)</f>
        <v/>
      </c>
      <c r="C90" s="35">
        <f>(持仓总表!H92*持仓总表!F92-SUMIF(当日交易记录!B:B,B90,当日交易记录!F:F))/D90</f>
        <v/>
      </c>
      <c r="D90" s="19">
        <f>持仓总表!F92-SUMIF(当日交易记录!B:B,B90,当日交易记录!D:D)</f>
        <v/>
      </c>
      <c r="E90" s="22" t="n"/>
    </row>
    <row r="91" s="30">
      <c r="A91" s="19" t="n">
        <v>91</v>
      </c>
      <c r="B91" s="19">
        <f>VLOOKUP(A91,持仓总表!A:B,2,0)</f>
        <v/>
      </c>
      <c r="C91" s="35">
        <f>(持仓总表!H93*持仓总表!F93-SUMIF(当日交易记录!B:B,B91,当日交易记录!F:F))/D91</f>
        <v/>
      </c>
      <c r="D91" s="19">
        <f>持仓总表!F93-SUMIF(当日交易记录!B:B,B91,当日交易记录!D:D)</f>
        <v/>
      </c>
      <c r="E91" s="22" t="n"/>
    </row>
    <row r="92" s="30">
      <c r="A92" s="19" t="n">
        <v>92</v>
      </c>
      <c r="B92" s="19">
        <f>VLOOKUP(A92,持仓总表!A:B,2,0)</f>
        <v/>
      </c>
      <c r="C92" s="35">
        <f>(持仓总表!H94*持仓总表!F94-SUMIF(当日交易记录!B:B,B92,当日交易记录!F:F))/D92</f>
        <v/>
      </c>
      <c r="D92" s="19">
        <f>持仓总表!F94-SUMIF(当日交易记录!B:B,B92,当日交易记录!D:D)</f>
        <v/>
      </c>
      <c r="E92" s="22" t="n"/>
    </row>
    <row r="93" s="30">
      <c r="A93" s="19" t="n">
        <v>93</v>
      </c>
      <c r="B93" s="19">
        <f>VLOOKUP(A93,持仓总表!A:B,2,0)</f>
        <v/>
      </c>
      <c r="C93" s="35">
        <f>(持仓总表!H95*持仓总表!F95-SUMIF(当日交易记录!B:B,B93,当日交易记录!F:F))/D93</f>
        <v/>
      </c>
      <c r="D93" s="19">
        <f>持仓总表!F95-SUMIF(当日交易记录!B:B,B93,当日交易记录!D:D)</f>
        <v/>
      </c>
      <c r="E93" s="22" t="n"/>
    </row>
    <row r="94" s="30">
      <c r="A94" s="19" t="n">
        <v>94</v>
      </c>
      <c r="B94" s="19">
        <f>VLOOKUP(A94,持仓总表!A:B,2,0)</f>
        <v/>
      </c>
      <c r="C94" s="35">
        <f>(持仓总表!H96*持仓总表!F96-SUMIF(当日交易记录!B:B,B94,当日交易记录!F:F))/D94</f>
        <v/>
      </c>
      <c r="D94" s="19">
        <f>持仓总表!F96-SUMIF(当日交易记录!B:B,B94,当日交易记录!D:D)</f>
        <v/>
      </c>
      <c r="E94" s="22" t="n"/>
    </row>
    <row r="95" s="30">
      <c r="A95" s="19" t="n">
        <v>95</v>
      </c>
      <c r="B95" s="19">
        <f>VLOOKUP(A95,持仓总表!A:B,2,0)</f>
        <v/>
      </c>
      <c r="C95" s="35">
        <f>(持仓总表!H97*持仓总表!F97-SUMIF(当日交易记录!B:B,B95,当日交易记录!F:F))/D95</f>
        <v/>
      </c>
      <c r="D95" s="19">
        <f>持仓总表!F97-SUMIF(当日交易记录!B:B,B95,当日交易记录!D:D)</f>
        <v/>
      </c>
      <c r="E95" s="22" t="n"/>
    </row>
    <row r="96" s="30">
      <c r="A96" s="19" t="n">
        <v>96</v>
      </c>
      <c r="B96" s="19">
        <f>VLOOKUP(A96,持仓总表!A:B,2,0)</f>
        <v/>
      </c>
      <c r="C96" s="35">
        <f>(持仓总表!H98*持仓总表!F98-SUMIF(当日交易记录!B:B,B96,当日交易记录!F:F))/D96</f>
        <v/>
      </c>
      <c r="D96" s="19">
        <f>持仓总表!F98-SUMIF(当日交易记录!B:B,B96,当日交易记录!D:D)</f>
        <v/>
      </c>
      <c r="E96" s="22" t="n"/>
    </row>
    <row r="97" s="30">
      <c r="A97" s="19" t="n">
        <v>97</v>
      </c>
      <c r="B97" s="19">
        <f>VLOOKUP(A97,持仓总表!A:B,2,0)</f>
        <v/>
      </c>
      <c r="C97" s="35">
        <f>(持仓总表!H99*持仓总表!F99-SUMIF(当日交易记录!B:B,B97,当日交易记录!F:F))/D97</f>
        <v/>
      </c>
      <c r="D97" s="19">
        <f>持仓总表!F99-SUMIF(当日交易记录!B:B,B97,当日交易记录!D:D)</f>
        <v/>
      </c>
      <c r="E97" s="22" t="n"/>
    </row>
    <row r="98" s="30">
      <c r="A98" s="19" t="n">
        <v>98</v>
      </c>
      <c r="B98" s="19">
        <f>VLOOKUP(A98,持仓总表!A:B,2,0)</f>
        <v/>
      </c>
      <c r="C98" s="35">
        <f>(持仓总表!H100*持仓总表!F100-SUMIF(当日交易记录!B:B,B98,当日交易记录!F:F))/D98</f>
        <v/>
      </c>
      <c r="D98" s="19">
        <f>持仓总表!F100-SUMIF(当日交易记录!B:B,B98,当日交易记录!D:D)</f>
        <v/>
      </c>
      <c r="E98" s="22" t="n"/>
    </row>
    <row r="99" s="30">
      <c r="A99" s="19" t="n">
        <v>99</v>
      </c>
      <c r="B99" s="19">
        <f>VLOOKUP(A99,持仓总表!A:B,2,0)</f>
        <v/>
      </c>
      <c r="C99" s="35">
        <f>(持仓总表!H101*持仓总表!F101-SUMIF(当日交易记录!B:B,B99,当日交易记录!F:F))/D99</f>
        <v/>
      </c>
      <c r="D99" s="19">
        <f>持仓总表!F101-SUMIF(当日交易记录!B:B,B99,当日交易记录!D:D)</f>
        <v/>
      </c>
      <c r="E99" s="22" t="n"/>
    </row>
    <row r="100" s="30">
      <c r="A100" s="19" t="n">
        <v>100</v>
      </c>
      <c r="B100" s="19">
        <f>VLOOKUP(A100,持仓总表!A:B,2,0)</f>
        <v/>
      </c>
      <c r="C100" s="35">
        <f>(持仓总表!H102*持仓总表!F102-SUMIF(当日交易记录!B:B,B100,当日交易记录!F:F))/D100</f>
        <v/>
      </c>
      <c r="D100" s="19">
        <f>持仓总表!F102-SUMIF(当日交易记录!B:B,B100,当日交易记录!D:D)</f>
        <v/>
      </c>
      <c r="E100" s="22" t="n"/>
    </row>
    <row r="101" s="30">
      <c r="A101" s="19" t="n">
        <v>101</v>
      </c>
      <c r="B101" s="19">
        <f>VLOOKUP(A101,持仓总表!A:B,2,0)</f>
        <v/>
      </c>
      <c r="C101" s="35">
        <f>(持仓总表!H103*持仓总表!F103-SUMIF(当日交易记录!B:B,B101,当日交易记录!F:F))/D101</f>
        <v/>
      </c>
      <c r="D101" s="19">
        <f>持仓总表!F103-SUMIF(当日交易记录!B:B,B101,当日交易记录!D:D)</f>
        <v/>
      </c>
      <c r="E101" s="22" t="n"/>
    </row>
    <row r="102" s="30">
      <c r="A102" s="19" t="n">
        <v>102</v>
      </c>
      <c r="B102" s="19">
        <f>VLOOKUP(A102,持仓总表!A:B,2,0)</f>
        <v/>
      </c>
      <c r="C102" s="35">
        <f>(持仓总表!H104*持仓总表!F104-SUMIF(当日交易记录!B:B,B102,当日交易记录!F:F))/D102</f>
        <v/>
      </c>
      <c r="D102" s="19">
        <f>持仓总表!F104-SUMIF(当日交易记录!B:B,B102,当日交易记录!D:D)</f>
        <v/>
      </c>
      <c r="E102" s="22" t="n"/>
    </row>
    <row r="103" s="30">
      <c r="A103" s="19" t="n">
        <v>103</v>
      </c>
      <c r="B103" s="19">
        <f>VLOOKUP(A103,持仓总表!A:B,2,0)</f>
        <v/>
      </c>
      <c r="C103" s="35">
        <f>(持仓总表!H105*持仓总表!F105-SUMIF(当日交易记录!B:B,B103,当日交易记录!F:F))/D103</f>
        <v/>
      </c>
      <c r="D103" s="19">
        <f>持仓总表!F105-SUMIF(当日交易记录!B:B,B103,当日交易记录!D:D)</f>
        <v/>
      </c>
      <c r="E103" s="22" t="n"/>
    </row>
    <row r="104" s="30">
      <c r="A104" s="19" t="n">
        <v>104</v>
      </c>
      <c r="B104" s="19">
        <f>VLOOKUP(A104,持仓总表!A:B,2,0)</f>
        <v/>
      </c>
      <c r="C104" s="35">
        <f>(持仓总表!H106*持仓总表!F106-SUMIF(当日交易记录!B:B,B104,当日交易记录!F:F))/D104</f>
        <v/>
      </c>
      <c r="D104" s="19">
        <f>持仓总表!F106-SUMIF(当日交易记录!B:B,B104,当日交易记录!D:D)</f>
        <v/>
      </c>
      <c r="E104" s="22" t="n"/>
    </row>
    <row r="105" s="30">
      <c r="A105" s="19" t="n">
        <v>105</v>
      </c>
      <c r="B105" s="19">
        <f>VLOOKUP(A105,持仓总表!A:B,2,0)</f>
        <v/>
      </c>
      <c r="C105" s="35">
        <f>(持仓总表!H107*持仓总表!F107-SUMIF(当日交易记录!B:B,B105,当日交易记录!F:F))/D105</f>
        <v/>
      </c>
      <c r="D105" s="19">
        <f>持仓总表!F107-SUMIF(当日交易记录!B:B,B105,当日交易记录!D:D)</f>
        <v/>
      </c>
      <c r="E105" s="22" t="n"/>
    </row>
    <row r="106" s="30">
      <c r="A106" s="19" t="n">
        <v>106</v>
      </c>
      <c r="B106" s="19">
        <f>VLOOKUP(A106,持仓总表!A:B,2,0)</f>
        <v/>
      </c>
      <c r="C106" s="35">
        <f>(持仓总表!H108*持仓总表!F108-SUMIF(当日交易记录!B:B,B106,当日交易记录!F:F))/D106</f>
        <v/>
      </c>
      <c r="D106" s="19">
        <f>持仓总表!F108-SUMIF(当日交易记录!B:B,B106,当日交易记录!D:D)</f>
        <v/>
      </c>
      <c r="E106" s="22" t="n"/>
    </row>
    <row r="107" s="30">
      <c r="A107" s="19" t="n">
        <v>107</v>
      </c>
      <c r="B107" s="19">
        <f>VLOOKUP(A107,持仓总表!A:B,2,0)</f>
        <v/>
      </c>
      <c r="C107" s="35">
        <f>(持仓总表!H109*持仓总表!F109-SUMIF(当日交易记录!B:B,B107,当日交易记录!F:F))/D107</f>
        <v/>
      </c>
      <c r="D107" s="19">
        <f>持仓总表!F109-SUMIF(当日交易记录!B:B,B107,当日交易记录!D:D)</f>
        <v/>
      </c>
      <c r="E107" s="22" t="n"/>
    </row>
    <row r="108" s="30">
      <c r="A108" s="19" t="n">
        <v>108</v>
      </c>
      <c r="B108" s="19">
        <f>VLOOKUP(A108,持仓总表!A:B,2,0)</f>
        <v/>
      </c>
      <c r="C108" s="35">
        <f>(持仓总表!H110*持仓总表!F110-SUMIF(当日交易记录!B:B,B108,当日交易记录!F:F))/D108</f>
        <v/>
      </c>
      <c r="D108" s="19">
        <f>持仓总表!F110-SUMIF(当日交易记录!B:B,B108,当日交易记录!D:D)</f>
        <v/>
      </c>
      <c r="E108" s="22" t="n"/>
    </row>
    <row r="109" s="30">
      <c r="A109" s="19" t="n">
        <v>109</v>
      </c>
      <c r="B109" s="19">
        <f>VLOOKUP(A109,持仓总表!A:B,2,0)</f>
        <v/>
      </c>
      <c r="C109" s="35">
        <f>(持仓总表!H111*持仓总表!F111-SUMIF(当日交易记录!B:B,B109,当日交易记录!F:F))/D109</f>
        <v/>
      </c>
      <c r="D109" s="19">
        <f>持仓总表!F111-SUMIF(当日交易记录!B:B,B109,当日交易记录!D:D)</f>
        <v/>
      </c>
      <c r="E109" s="22" t="n"/>
    </row>
    <row r="110" s="30">
      <c r="A110" s="19" t="n">
        <v>110</v>
      </c>
      <c r="B110" s="19">
        <f>VLOOKUP(A110,持仓总表!A:B,2,0)</f>
        <v/>
      </c>
      <c r="C110" s="35">
        <f>(持仓总表!H112*持仓总表!F112-SUMIF(当日交易记录!B:B,B110,当日交易记录!F:F))/D110</f>
        <v/>
      </c>
      <c r="D110" s="19">
        <f>持仓总表!F112-SUMIF(当日交易记录!B:B,B110,当日交易记录!D:D)</f>
        <v/>
      </c>
      <c r="E110" s="22" t="n"/>
    </row>
    <row r="111" s="30">
      <c r="A111" s="19" t="n">
        <v>111</v>
      </c>
      <c r="B111" s="19">
        <f>VLOOKUP(A111,持仓总表!A:B,2,0)</f>
        <v/>
      </c>
      <c r="C111" s="35">
        <f>(持仓总表!H113*持仓总表!F113-SUMIF(当日交易记录!B:B,B111,当日交易记录!F:F))/D111</f>
        <v/>
      </c>
      <c r="D111" s="19">
        <f>持仓总表!F113-SUMIF(当日交易记录!B:B,B111,当日交易记录!D:D)</f>
        <v/>
      </c>
      <c r="E111" s="22" t="n"/>
    </row>
    <row r="112" s="30">
      <c r="A112" s="19" t="n">
        <v>112</v>
      </c>
      <c r="B112" s="19">
        <f>VLOOKUP(A112,持仓总表!A:B,2,0)</f>
        <v/>
      </c>
      <c r="C112" s="35">
        <f>(持仓总表!H114*持仓总表!F114-SUMIF(当日交易记录!B:B,B112,当日交易记录!F:F))/D112</f>
        <v/>
      </c>
      <c r="D112" s="19">
        <f>持仓总表!F114-SUMIF(当日交易记录!B:B,B112,当日交易记录!D:D)</f>
        <v/>
      </c>
      <c r="E112" s="22" t="n"/>
    </row>
    <row r="113" s="30">
      <c r="A113" s="19" t="n">
        <v>113</v>
      </c>
      <c r="B113" s="19">
        <f>VLOOKUP(A113,持仓总表!A:B,2,0)</f>
        <v/>
      </c>
      <c r="C113" s="35">
        <f>(持仓总表!H115*持仓总表!F115-SUMIF(当日交易记录!B:B,B113,当日交易记录!F:F))/D113</f>
        <v/>
      </c>
      <c r="D113" s="19">
        <f>持仓总表!F115-SUMIF(当日交易记录!B:B,B113,当日交易记录!D:D)</f>
        <v/>
      </c>
      <c r="E113" s="22" t="n"/>
    </row>
    <row r="114" s="30">
      <c r="A114" s="19" t="n">
        <v>114</v>
      </c>
      <c r="B114" s="19">
        <f>VLOOKUP(A114,持仓总表!A:B,2,0)</f>
        <v/>
      </c>
      <c r="C114" s="35">
        <f>(持仓总表!H116*持仓总表!F116-SUMIF(当日交易记录!B:B,B114,当日交易记录!F:F))/D114</f>
        <v/>
      </c>
      <c r="D114" s="19">
        <f>持仓总表!F116-SUMIF(当日交易记录!B:B,B114,当日交易记录!D:D)</f>
        <v/>
      </c>
      <c r="E114" s="22" t="n"/>
    </row>
    <row r="115" s="30">
      <c r="A115" s="19" t="n">
        <v>115</v>
      </c>
      <c r="B115" s="19">
        <f>VLOOKUP(A115,持仓总表!A:B,2,0)</f>
        <v/>
      </c>
      <c r="C115" s="35">
        <f>(持仓总表!H117*持仓总表!F117-SUMIF(当日交易记录!B:B,B115,当日交易记录!F:F))/D115</f>
        <v/>
      </c>
      <c r="D115" s="19">
        <f>持仓总表!F117-SUMIF(当日交易记录!B:B,B115,当日交易记录!D:D)</f>
        <v/>
      </c>
      <c r="E115" s="22" t="n"/>
    </row>
    <row r="116" s="30">
      <c r="A116" s="19" t="n">
        <v>116</v>
      </c>
      <c r="B116" s="19">
        <f>VLOOKUP(A116,持仓总表!A:B,2,0)</f>
        <v/>
      </c>
      <c r="C116" s="35">
        <f>(持仓总表!H118*持仓总表!F118-SUMIF(当日交易记录!B:B,B116,当日交易记录!F:F))/D116</f>
        <v/>
      </c>
      <c r="D116" s="19">
        <f>持仓总表!F118-SUMIF(当日交易记录!B:B,B116,当日交易记录!D:D)</f>
        <v/>
      </c>
      <c r="E116" s="22" t="n"/>
    </row>
    <row r="117" s="30">
      <c r="A117" s="19" t="n">
        <v>117</v>
      </c>
      <c r="B117" s="19">
        <f>VLOOKUP(A117,持仓总表!A:B,2,0)</f>
        <v/>
      </c>
      <c r="C117" s="35">
        <f>(持仓总表!H119*持仓总表!F119-SUMIF(当日交易记录!B:B,B117,当日交易记录!F:F))/D117</f>
        <v/>
      </c>
      <c r="D117" s="19">
        <f>持仓总表!F119-SUMIF(当日交易记录!B:B,B117,当日交易记录!D:D)</f>
        <v/>
      </c>
      <c r="E117" s="22" t="n"/>
    </row>
    <row r="118" s="30">
      <c r="A118" s="19" t="n">
        <v>118</v>
      </c>
      <c r="B118" s="19">
        <f>VLOOKUP(A118,持仓总表!A:B,2,0)</f>
        <v/>
      </c>
      <c r="C118" s="35">
        <f>(持仓总表!H120*持仓总表!F120-SUMIF(当日交易记录!B:B,B118,当日交易记录!F:F))/D118</f>
        <v/>
      </c>
      <c r="D118" s="19">
        <f>持仓总表!F120-SUMIF(当日交易记录!B:B,B118,当日交易记录!D:D)</f>
        <v/>
      </c>
      <c r="E118" s="22" t="n"/>
    </row>
    <row r="119" s="30">
      <c r="A119" s="19" t="n">
        <v>119</v>
      </c>
      <c r="B119" s="19">
        <f>VLOOKUP(A119,持仓总表!A:B,2,0)</f>
        <v/>
      </c>
      <c r="C119" s="35">
        <f>(持仓总表!H121*持仓总表!F121-SUMIF(当日交易记录!B:B,B119,当日交易记录!F:F))/D119</f>
        <v/>
      </c>
      <c r="D119" s="19">
        <f>持仓总表!F121-SUMIF(当日交易记录!B:B,B119,当日交易记录!D:D)</f>
        <v/>
      </c>
      <c r="E119" s="22" t="n"/>
    </row>
    <row r="120" s="30">
      <c r="A120" s="19" t="n">
        <v>120</v>
      </c>
      <c r="B120" s="19">
        <f>VLOOKUP(A120,持仓总表!A:B,2,0)</f>
        <v/>
      </c>
      <c r="C120" s="35">
        <f>(持仓总表!H122*持仓总表!F122-SUMIF(当日交易记录!B:B,B120,当日交易记录!F:F))/D120</f>
        <v/>
      </c>
      <c r="D120" s="19">
        <f>持仓总表!F122-SUMIF(当日交易记录!B:B,B120,当日交易记录!D:D)</f>
        <v/>
      </c>
      <c r="E120" s="22" t="n"/>
    </row>
    <row r="121" s="30">
      <c r="A121" s="19" t="n">
        <v>121</v>
      </c>
      <c r="B121" s="19">
        <f>VLOOKUP(A121,持仓总表!A:B,2,0)</f>
        <v/>
      </c>
      <c r="C121" s="35">
        <f>(持仓总表!H123*持仓总表!F123-SUMIF(当日交易记录!B:B,B121,当日交易记录!F:F))/D121</f>
        <v/>
      </c>
      <c r="D121" s="19">
        <f>持仓总表!F123-SUMIF(当日交易记录!B:B,B121,当日交易记录!D:D)</f>
        <v/>
      </c>
      <c r="E121" s="22" t="n"/>
    </row>
    <row r="122" s="30">
      <c r="A122" s="19" t="n">
        <v>122</v>
      </c>
      <c r="B122" s="19">
        <f>VLOOKUP(A122,持仓总表!A:B,2,0)</f>
        <v/>
      </c>
      <c r="C122" s="35">
        <f>(持仓总表!H124*持仓总表!F124-SUMIF(当日交易记录!B:B,B122,当日交易记录!F:F))/D122</f>
        <v/>
      </c>
      <c r="D122" s="19">
        <f>持仓总表!F124-SUMIF(当日交易记录!B:B,B122,当日交易记录!D:D)</f>
        <v/>
      </c>
      <c r="E122" s="22" t="n"/>
    </row>
    <row r="123" s="30">
      <c r="A123" s="19" t="n">
        <v>123</v>
      </c>
      <c r="B123" s="19">
        <f>VLOOKUP(A123,持仓总表!A:B,2,0)</f>
        <v/>
      </c>
      <c r="C123" s="35">
        <f>(持仓总表!H125*持仓总表!F125-SUMIF(当日交易记录!B:B,B123,当日交易记录!F:F))/D123</f>
        <v/>
      </c>
      <c r="D123" s="19">
        <f>持仓总表!F125-SUMIF(当日交易记录!B:B,B123,当日交易记录!D:D)</f>
        <v/>
      </c>
      <c r="E123" s="22" t="n"/>
    </row>
    <row r="124" s="30">
      <c r="A124" s="19" t="n">
        <v>124</v>
      </c>
      <c r="B124" s="19">
        <f>VLOOKUP(A124,持仓总表!A:B,2,0)</f>
        <v/>
      </c>
      <c r="C124" s="35">
        <f>(持仓总表!H126*持仓总表!F126-SUMIF(当日交易记录!B:B,B124,当日交易记录!F:F))/D124</f>
        <v/>
      </c>
      <c r="D124" s="19">
        <f>持仓总表!F126-SUMIF(当日交易记录!B:B,B124,当日交易记录!D:D)</f>
        <v/>
      </c>
      <c r="E124" s="22" t="n"/>
    </row>
    <row r="125" s="30">
      <c r="A125" s="19" t="n">
        <v>125</v>
      </c>
      <c r="B125" s="19">
        <f>VLOOKUP(A125,持仓总表!A:B,2,0)</f>
        <v/>
      </c>
      <c r="C125" s="35">
        <f>(持仓总表!H127*持仓总表!F127-SUMIF(当日交易记录!B:B,B125,当日交易记录!F:F))/D125</f>
        <v/>
      </c>
      <c r="D125" s="19">
        <f>持仓总表!F127-SUMIF(当日交易记录!B:B,B125,当日交易记录!D:D)</f>
        <v/>
      </c>
      <c r="E125" s="22" t="n"/>
    </row>
    <row r="126" s="30">
      <c r="A126" s="19" t="n">
        <v>126</v>
      </c>
      <c r="B126" s="19">
        <f>VLOOKUP(A126,持仓总表!A:B,2,0)</f>
        <v/>
      </c>
      <c r="C126" s="35">
        <f>(持仓总表!H128*持仓总表!F128-SUMIF(当日交易记录!B:B,B126,当日交易记录!F:F))/D126</f>
        <v/>
      </c>
      <c r="D126" s="19">
        <f>持仓总表!F128-SUMIF(当日交易记录!B:B,B126,当日交易记录!D:D)</f>
        <v/>
      </c>
      <c r="E126" s="22" t="n"/>
    </row>
    <row r="127" s="30">
      <c r="A127" s="19" t="n">
        <v>127</v>
      </c>
      <c r="B127" s="19">
        <f>VLOOKUP(A127,持仓总表!A:B,2,0)</f>
        <v/>
      </c>
      <c r="C127" s="35">
        <f>(持仓总表!H129*持仓总表!F129-SUMIF(当日交易记录!B:B,B127,当日交易记录!F:F))/D127</f>
        <v/>
      </c>
      <c r="D127" s="19">
        <f>持仓总表!F129-SUMIF(当日交易记录!B:B,B127,当日交易记录!D:D)</f>
        <v/>
      </c>
      <c r="E127" s="22" t="n"/>
    </row>
    <row r="128" s="30">
      <c r="A128" s="19" t="n">
        <v>128</v>
      </c>
      <c r="B128" s="19">
        <f>VLOOKUP(A128,持仓总表!A:B,2,0)</f>
        <v/>
      </c>
      <c r="C128" s="35">
        <f>(持仓总表!H130*持仓总表!F130-SUMIF(当日交易记录!B:B,B128,当日交易记录!F:F))/D128</f>
        <v/>
      </c>
      <c r="D128" s="19">
        <f>持仓总表!F130-SUMIF(当日交易记录!B:B,B128,当日交易记录!D:D)</f>
        <v/>
      </c>
      <c r="E128" s="22" t="n"/>
    </row>
    <row r="129" s="30">
      <c r="A129" s="19" t="n">
        <v>129</v>
      </c>
      <c r="B129" s="19">
        <f>VLOOKUP(A129,持仓总表!A:B,2,0)</f>
        <v/>
      </c>
      <c r="C129" s="35">
        <f>(持仓总表!H131*持仓总表!F131-SUMIF(当日交易记录!B:B,B129,当日交易记录!F:F))/D129</f>
        <v/>
      </c>
      <c r="D129" s="19">
        <f>持仓总表!F131-SUMIF(当日交易记录!B:B,B129,当日交易记录!D:D)</f>
        <v/>
      </c>
      <c r="E129" s="22" t="n"/>
    </row>
    <row r="130" s="30">
      <c r="A130" s="19" t="n">
        <v>130</v>
      </c>
      <c r="B130" s="19">
        <f>VLOOKUP(A130,持仓总表!A:B,2,0)</f>
        <v/>
      </c>
      <c r="C130" s="35">
        <f>(持仓总表!H132*持仓总表!F132-SUMIF(当日交易记录!B:B,B130,当日交易记录!F:F))/D130</f>
        <v/>
      </c>
      <c r="D130" s="19">
        <f>持仓总表!F132-SUMIF(当日交易记录!B:B,B130,当日交易记录!D:D)</f>
        <v/>
      </c>
      <c r="E130" s="22" t="n"/>
    </row>
    <row r="131" s="30">
      <c r="A131" s="19" t="n">
        <v>131</v>
      </c>
      <c r="B131" s="19">
        <f>VLOOKUP(A131,持仓总表!A:B,2,0)</f>
        <v/>
      </c>
      <c r="C131" s="35">
        <f>(持仓总表!H133*持仓总表!F133-SUMIF(当日交易记录!B:B,B131,当日交易记录!F:F))/D131</f>
        <v/>
      </c>
      <c r="D131" s="19">
        <f>持仓总表!F133-SUMIF(当日交易记录!B:B,B131,当日交易记录!D:D)</f>
        <v/>
      </c>
      <c r="E131" s="22" t="n"/>
    </row>
    <row r="132" s="30">
      <c r="A132" s="19" t="n">
        <v>132</v>
      </c>
      <c r="B132" s="19">
        <f>VLOOKUP(A132,持仓总表!A:B,2,0)</f>
        <v/>
      </c>
      <c r="C132" s="35">
        <f>(持仓总表!H134*持仓总表!F134-SUMIF(当日交易记录!B:B,B132,当日交易记录!F:F))/D132</f>
        <v/>
      </c>
      <c r="D132" s="19">
        <f>持仓总表!F134-SUMIF(当日交易记录!B:B,B132,当日交易记录!D:D)</f>
        <v/>
      </c>
      <c r="E132" s="22" t="n"/>
    </row>
    <row r="133" s="30">
      <c r="A133" s="19" t="n">
        <v>133</v>
      </c>
      <c r="B133" s="19">
        <f>VLOOKUP(A133,持仓总表!A:B,2,0)</f>
        <v/>
      </c>
      <c r="C133" s="35">
        <f>(持仓总表!H135*持仓总表!F135-SUMIF(当日交易记录!B:B,B133,当日交易记录!F:F))/D133</f>
        <v/>
      </c>
      <c r="D133" s="19">
        <f>持仓总表!F135-SUMIF(当日交易记录!B:B,B133,当日交易记录!D:D)</f>
        <v/>
      </c>
      <c r="E133" s="22" t="n"/>
    </row>
    <row r="134" s="30">
      <c r="A134" s="19" t="n">
        <v>134</v>
      </c>
      <c r="B134" s="19">
        <f>VLOOKUP(A134,持仓总表!A:B,2,0)</f>
        <v/>
      </c>
      <c r="C134" s="35">
        <f>(持仓总表!H136*持仓总表!F136-SUMIF(当日交易记录!B:B,B134,当日交易记录!F:F))/D134</f>
        <v/>
      </c>
      <c r="D134" s="19">
        <f>持仓总表!F136-SUMIF(当日交易记录!B:B,B134,当日交易记录!D:D)</f>
        <v/>
      </c>
      <c r="E134" s="22" t="n"/>
    </row>
    <row r="135" s="30">
      <c r="A135" s="19" t="n">
        <v>135</v>
      </c>
      <c r="B135" s="19">
        <f>VLOOKUP(A135,持仓总表!A:B,2,0)</f>
        <v/>
      </c>
      <c r="C135" s="35">
        <f>(持仓总表!H137*持仓总表!F137-SUMIF(当日交易记录!B:B,B135,当日交易记录!F:F))/D135</f>
        <v/>
      </c>
      <c r="D135" s="19">
        <f>持仓总表!F137-SUMIF(当日交易记录!B:B,B135,当日交易记录!D:D)</f>
        <v/>
      </c>
      <c r="E135" s="22" t="n"/>
    </row>
    <row r="136" s="30">
      <c r="A136" s="19" t="n">
        <v>136</v>
      </c>
      <c r="B136" s="19">
        <f>VLOOKUP(A136,持仓总表!A:B,2,0)</f>
        <v/>
      </c>
      <c r="C136" s="35">
        <f>(持仓总表!H138*持仓总表!F138-SUMIF(当日交易记录!B:B,B136,当日交易记录!F:F))/D136</f>
        <v/>
      </c>
      <c r="D136" s="19">
        <f>持仓总表!F138-SUMIF(当日交易记录!B:B,B136,当日交易记录!D:D)</f>
        <v/>
      </c>
      <c r="E136" s="22" t="n"/>
    </row>
    <row r="137" s="30">
      <c r="A137" s="19" t="n">
        <v>137</v>
      </c>
      <c r="B137" s="19">
        <f>VLOOKUP(A137,持仓总表!A:B,2,0)</f>
        <v/>
      </c>
      <c r="C137" s="35">
        <f>(持仓总表!H139*持仓总表!F139-SUMIF(当日交易记录!B:B,B137,当日交易记录!F:F))/D137</f>
        <v/>
      </c>
      <c r="D137" s="19">
        <f>持仓总表!F139-SUMIF(当日交易记录!B:B,B137,当日交易记录!D:D)</f>
        <v/>
      </c>
      <c r="E137" s="22" t="n"/>
    </row>
    <row r="138" s="30">
      <c r="A138" s="19" t="n">
        <v>138</v>
      </c>
      <c r="B138" s="19">
        <f>VLOOKUP(A138,持仓总表!A:B,2,0)</f>
        <v/>
      </c>
      <c r="C138" s="35">
        <f>(持仓总表!H140*持仓总表!F140-SUMIF(当日交易记录!B:B,B138,当日交易记录!F:F))/D138</f>
        <v/>
      </c>
      <c r="D138" s="19">
        <f>持仓总表!F140-SUMIF(当日交易记录!B:B,B138,当日交易记录!D:D)</f>
        <v/>
      </c>
      <c r="E138" s="22" t="n"/>
    </row>
    <row r="139" s="30">
      <c r="A139" s="19" t="n">
        <v>139</v>
      </c>
      <c r="B139" s="19">
        <f>VLOOKUP(A139,持仓总表!A:B,2,0)</f>
        <v/>
      </c>
      <c r="C139" s="35">
        <f>(持仓总表!H141*持仓总表!F141-SUMIF(当日交易记录!B:B,B139,当日交易记录!F:F))/D139</f>
        <v/>
      </c>
      <c r="D139" s="19">
        <f>持仓总表!F141-SUMIF(当日交易记录!B:B,B139,当日交易记录!D:D)</f>
        <v/>
      </c>
      <c r="E139" s="22" t="n"/>
    </row>
    <row r="140" s="30">
      <c r="A140" s="19" t="n">
        <v>140</v>
      </c>
      <c r="B140" s="19">
        <f>VLOOKUP(A140,持仓总表!A:B,2,0)</f>
        <v/>
      </c>
      <c r="C140" s="35">
        <f>(持仓总表!H142*持仓总表!F142-SUMIF(当日交易记录!B:B,B140,当日交易记录!F:F))/D140</f>
        <v/>
      </c>
      <c r="D140" s="19">
        <f>持仓总表!F142-SUMIF(当日交易记录!B:B,B140,当日交易记录!D:D)</f>
        <v/>
      </c>
      <c r="E140" s="22" t="n"/>
    </row>
    <row r="141" s="30">
      <c r="A141" s="19" t="n">
        <v>141</v>
      </c>
      <c r="B141" s="19">
        <f>VLOOKUP(A141,持仓总表!A:B,2,0)</f>
        <v/>
      </c>
      <c r="C141" s="35">
        <f>(持仓总表!H143*持仓总表!F143-SUMIF(当日交易记录!B:B,B141,当日交易记录!F:F))/D141</f>
        <v/>
      </c>
      <c r="D141" s="19">
        <f>持仓总表!F143-SUMIF(当日交易记录!B:B,B141,当日交易记录!D:D)</f>
        <v/>
      </c>
      <c r="E141" s="22" t="n"/>
    </row>
    <row r="142" s="30">
      <c r="A142" s="19" t="n">
        <v>142</v>
      </c>
      <c r="B142" s="19">
        <f>VLOOKUP(A142,持仓总表!A:B,2,0)</f>
        <v/>
      </c>
      <c r="C142" s="35">
        <f>(持仓总表!H144*持仓总表!F144-SUMIF(当日交易记录!B:B,B142,当日交易记录!F:F))/D142</f>
        <v/>
      </c>
      <c r="D142" s="19">
        <f>持仓总表!F144-SUMIF(当日交易记录!B:B,B142,当日交易记录!D:D)</f>
        <v/>
      </c>
      <c r="E142" s="22" t="n"/>
    </row>
    <row r="143" s="30">
      <c r="A143" s="19" t="n">
        <v>143</v>
      </c>
      <c r="B143" s="19">
        <f>VLOOKUP(A143,持仓总表!A:B,2,0)</f>
        <v/>
      </c>
      <c r="C143" s="35">
        <f>(持仓总表!H145*持仓总表!F145-SUMIF(当日交易记录!B:B,B143,当日交易记录!F:F))/D143</f>
        <v/>
      </c>
      <c r="D143" s="19">
        <f>持仓总表!F145-SUMIF(当日交易记录!B:B,B143,当日交易记录!D:D)</f>
        <v/>
      </c>
      <c r="E143" s="22" t="n"/>
    </row>
    <row r="144" s="30">
      <c r="A144" s="19" t="n">
        <v>144</v>
      </c>
      <c r="B144" s="19">
        <f>VLOOKUP(A144,持仓总表!A:B,2,0)</f>
        <v/>
      </c>
      <c r="C144" s="35">
        <f>(持仓总表!H146*持仓总表!F146-SUMIF(当日交易记录!B:B,B144,当日交易记录!F:F))/D144</f>
        <v/>
      </c>
      <c r="D144" s="19">
        <f>持仓总表!F146-SUMIF(当日交易记录!B:B,B144,当日交易记录!D:D)</f>
        <v/>
      </c>
      <c r="E144" s="22" t="n"/>
    </row>
    <row r="145" s="30">
      <c r="A145" s="19" t="n">
        <v>145</v>
      </c>
      <c r="B145" s="19">
        <f>VLOOKUP(A145,持仓总表!A:B,2,0)</f>
        <v/>
      </c>
      <c r="C145" s="35">
        <f>(持仓总表!H147*持仓总表!F147-SUMIF(当日交易记录!B:B,B145,当日交易记录!F:F))/D145</f>
        <v/>
      </c>
      <c r="D145" s="19">
        <f>持仓总表!F147-SUMIF(当日交易记录!B:B,B145,当日交易记录!D:D)</f>
        <v/>
      </c>
      <c r="E145" s="22" t="n"/>
    </row>
    <row r="146" s="30">
      <c r="A146" s="19" t="n">
        <v>146</v>
      </c>
      <c r="B146" s="19">
        <f>VLOOKUP(A146,持仓总表!A:B,2,0)</f>
        <v/>
      </c>
      <c r="C146" s="35">
        <f>(持仓总表!H148*持仓总表!F148-SUMIF(当日交易记录!B:B,B146,当日交易记录!F:F))/D146</f>
        <v/>
      </c>
      <c r="D146" s="19">
        <f>持仓总表!F148-SUMIF(当日交易记录!B:B,B146,当日交易记录!D:D)</f>
        <v/>
      </c>
      <c r="E146" s="22" t="n"/>
    </row>
    <row r="147" s="30">
      <c r="A147" s="19" t="n">
        <v>147</v>
      </c>
      <c r="B147" s="19">
        <f>VLOOKUP(A147,持仓总表!A:B,2,0)</f>
        <v/>
      </c>
      <c r="C147" s="35">
        <f>(持仓总表!H149*持仓总表!F149-SUMIF(当日交易记录!B:B,B147,当日交易记录!F:F))/D147</f>
        <v/>
      </c>
      <c r="D147" s="19">
        <f>持仓总表!F149-SUMIF(当日交易记录!B:B,B147,当日交易记录!D:D)</f>
        <v/>
      </c>
      <c r="E147" s="22" t="n"/>
    </row>
    <row r="148" s="30">
      <c r="A148" s="19" t="n">
        <v>148</v>
      </c>
      <c r="B148" s="19">
        <f>VLOOKUP(A148,持仓总表!A:B,2,0)</f>
        <v/>
      </c>
      <c r="C148" s="35">
        <f>(持仓总表!H150*持仓总表!F150-SUMIF(当日交易记录!B:B,B148,当日交易记录!F:F))/D148</f>
        <v/>
      </c>
      <c r="D148" s="19">
        <f>持仓总表!F150-SUMIF(当日交易记录!B:B,B148,当日交易记录!D:D)</f>
        <v/>
      </c>
      <c r="E148" s="22" t="n"/>
    </row>
    <row r="149" s="30">
      <c r="A149" s="19" t="n">
        <v>149</v>
      </c>
      <c r="B149" s="19">
        <f>VLOOKUP(A149,持仓总表!A:B,2,0)</f>
        <v/>
      </c>
      <c r="C149" s="35">
        <f>(持仓总表!H151*持仓总表!F151-SUMIF(当日交易记录!B:B,B149,当日交易记录!F:F))/D149</f>
        <v/>
      </c>
      <c r="D149" s="19">
        <f>持仓总表!F151-SUMIF(当日交易记录!B:B,B149,当日交易记录!D:D)</f>
        <v/>
      </c>
      <c r="E149" s="22" t="n"/>
    </row>
    <row r="150" s="30">
      <c r="A150" s="19" t="n">
        <v>150</v>
      </c>
      <c r="B150" s="19">
        <f>VLOOKUP(A150,持仓总表!A:B,2,0)</f>
        <v/>
      </c>
      <c r="C150" s="35">
        <f>(持仓总表!H152*持仓总表!F152-SUMIF(当日交易记录!B:B,B150,当日交易记录!F:F))/D150</f>
        <v/>
      </c>
      <c r="D150" s="19">
        <f>持仓总表!F152-SUMIF(当日交易记录!B:B,B150,当日交易记录!D:D)</f>
        <v/>
      </c>
      <c r="E150" s="22" t="n"/>
    </row>
    <row r="151" s="30">
      <c r="A151" s="19" t="n">
        <v>151</v>
      </c>
      <c r="B151" s="19">
        <f>VLOOKUP(A151,持仓总表!A:B,2,0)</f>
        <v/>
      </c>
      <c r="C151" s="35">
        <f>(持仓总表!H153*持仓总表!F153-SUMIF(当日交易记录!B:B,B151,当日交易记录!F:F))/D151</f>
        <v/>
      </c>
      <c r="D151" s="19">
        <f>持仓总表!F153-SUMIF(当日交易记录!B:B,B151,当日交易记录!D:D)</f>
        <v/>
      </c>
      <c r="E151" s="22" t="n"/>
    </row>
    <row r="152" s="30">
      <c r="A152" s="19" t="n">
        <v>152</v>
      </c>
      <c r="B152" s="19">
        <f>VLOOKUP(A152,持仓总表!A:B,2,0)</f>
        <v/>
      </c>
      <c r="C152" s="35">
        <f>(持仓总表!H154*持仓总表!F154-SUMIF(当日交易记录!B:B,B152,当日交易记录!F:F))/D152</f>
        <v/>
      </c>
      <c r="D152" s="19">
        <f>持仓总表!F154-SUMIF(当日交易记录!B:B,B152,当日交易记录!D:D)</f>
        <v/>
      </c>
      <c r="E152" s="22" t="n"/>
    </row>
    <row r="153" s="30">
      <c r="A153" s="19" t="n">
        <v>153</v>
      </c>
      <c r="B153" s="19">
        <f>VLOOKUP(A153,持仓总表!A:B,2,0)</f>
        <v/>
      </c>
      <c r="C153" s="35">
        <f>(持仓总表!H155*持仓总表!F155-SUMIF(当日交易记录!B:B,B153,当日交易记录!F:F))/D153</f>
        <v/>
      </c>
      <c r="D153" s="19">
        <f>持仓总表!F155-SUMIF(当日交易记录!B:B,B153,当日交易记录!D:D)</f>
        <v/>
      </c>
      <c r="E153" s="22" t="n"/>
    </row>
    <row r="154" s="30">
      <c r="A154" s="19" t="n">
        <v>154</v>
      </c>
      <c r="B154" s="19">
        <f>VLOOKUP(A154,持仓总表!A:B,2,0)</f>
        <v/>
      </c>
      <c r="C154" s="35">
        <f>(持仓总表!H156*持仓总表!F156-SUMIF(当日交易记录!B:B,B154,当日交易记录!F:F))/D154</f>
        <v/>
      </c>
      <c r="D154" s="19">
        <f>持仓总表!F156-SUMIF(当日交易记录!B:B,B154,当日交易记录!D:D)</f>
        <v/>
      </c>
      <c r="E154" s="22" t="n"/>
    </row>
    <row r="155" s="30">
      <c r="A155" s="19" t="n">
        <v>155</v>
      </c>
      <c r="B155" s="19">
        <f>VLOOKUP(A155,持仓总表!A:B,2,0)</f>
        <v/>
      </c>
      <c r="C155" s="35">
        <f>(持仓总表!H157*持仓总表!F157-SUMIF(当日交易记录!B:B,B155,当日交易记录!F:F))/D155</f>
        <v/>
      </c>
      <c r="D155" s="19">
        <f>持仓总表!F157-SUMIF(当日交易记录!B:B,B155,当日交易记录!D:D)</f>
        <v/>
      </c>
      <c r="E155" s="22" t="n"/>
    </row>
    <row r="156" s="30">
      <c r="A156" s="19" t="n">
        <v>156</v>
      </c>
      <c r="B156" s="19">
        <f>VLOOKUP(A156,持仓总表!A:B,2,0)</f>
        <v/>
      </c>
      <c r="C156" s="35">
        <f>(持仓总表!H158*持仓总表!F158-SUMIF(当日交易记录!B:B,B156,当日交易记录!F:F))/D156</f>
        <v/>
      </c>
      <c r="D156" s="19">
        <f>持仓总表!F158-SUMIF(当日交易记录!B:B,B156,当日交易记录!D:D)</f>
        <v/>
      </c>
      <c r="E156" s="22" t="n"/>
    </row>
    <row r="157" s="30">
      <c r="A157" s="19" t="n">
        <v>157</v>
      </c>
      <c r="B157" s="19">
        <f>VLOOKUP(A157,持仓总表!A:B,2,0)</f>
        <v/>
      </c>
      <c r="C157" s="35">
        <f>(持仓总表!H159*持仓总表!F159-SUMIF(当日交易记录!B:B,B157,当日交易记录!F:F))/D157</f>
        <v/>
      </c>
      <c r="D157" s="19">
        <f>持仓总表!F159-SUMIF(当日交易记录!B:B,B157,当日交易记录!D:D)</f>
        <v/>
      </c>
      <c r="E157" s="22" t="n"/>
    </row>
    <row r="158" s="30">
      <c r="A158" s="19" t="n">
        <v>158</v>
      </c>
      <c r="B158" s="19">
        <f>VLOOKUP(A158,持仓总表!A:B,2,0)</f>
        <v/>
      </c>
      <c r="C158" s="35">
        <f>(持仓总表!H160*持仓总表!F160-SUMIF(当日交易记录!B:B,B158,当日交易记录!F:F))/D158</f>
        <v/>
      </c>
      <c r="D158" s="19">
        <f>持仓总表!F160-SUMIF(当日交易记录!B:B,B158,当日交易记录!D:D)</f>
        <v/>
      </c>
      <c r="E158" s="22" t="n"/>
    </row>
    <row r="159" s="30">
      <c r="A159" s="19" t="n">
        <v>159</v>
      </c>
      <c r="B159" s="19">
        <f>VLOOKUP(A159,持仓总表!A:B,2,0)</f>
        <v/>
      </c>
      <c r="C159" s="35">
        <f>(持仓总表!H161*持仓总表!F161-SUMIF(当日交易记录!B:B,B159,当日交易记录!F:F))/D159</f>
        <v/>
      </c>
      <c r="D159" s="19">
        <f>持仓总表!F161-SUMIF(当日交易记录!B:B,B159,当日交易记录!D:D)</f>
        <v/>
      </c>
      <c r="E159" s="22" t="n"/>
    </row>
    <row r="160" s="30">
      <c r="A160" s="19" t="n">
        <v>160</v>
      </c>
      <c r="B160" s="19">
        <f>VLOOKUP(A160,持仓总表!A:B,2,0)</f>
        <v/>
      </c>
      <c r="C160" s="35">
        <f>(持仓总表!H162*持仓总表!F162-SUMIF(当日交易记录!B:B,B160,当日交易记录!F:F))/D160</f>
        <v/>
      </c>
      <c r="D160" s="19">
        <f>持仓总表!F162-SUMIF(当日交易记录!B:B,B160,当日交易记录!D:D)</f>
        <v/>
      </c>
      <c r="E160" s="22" t="n"/>
    </row>
    <row r="161" s="30">
      <c r="A161" s="19" t="n">
        <v>161</v>
      </c>
      <c r="B161" s="19">
        <f>VLOOKUP(A161,持仓总表!A:B,2,0)</f>
        <v/>
      </c>
      <c r="C161" s="35">
        <f>(持仓总表!H163*持仓总表!F163-SUMIF(当日交易记录!B:B,B161,当日交易记录!F:F))/D161</f>
        <v/>
      </c>
      <c r="D161" s="19">
        <f>持仓总表!F163-SUMIF(当日交易记录!B:B,B161,当日交易记录!D:D)</f>
        <v/>
      </c>
      <c r="E161" s="22" t="n"/>
    </row>
    <row r="162" s="30">
      <c r="A162" s="19" t="n">
        <v>162</v>
      </c>
      <c r="B162" s="19">
        <f>VLOOKUP(A162,持仓总表!A:B,2,0)</f>
        <v/>
      </c>
      <c r="C162" s="35">
        <f>(持仓总表!H164*持仓总表!F164-SUMIF(当日交易记录!B:B,B162,当日交易记录!F:F))/D162</f>
        <v/>
      </c>
      <c r="D162" s="19">
        <f>持仓总表!F164-SUMIF(当日交易记录!B:B,B162,当日交易记录!D:D)</f>
        <v/>
      </c>
      <c r="E162" s="22" t="n"/>
    </row>
    <row r="163" s="30">
      <c r="A163" s="19" t="n">
        <v>163</v>
      </c>
      <c r="B163" s="19">
        <f>VLOOKUP(A163,持仓总表!A:B,2,0)</f>
        <v/>
      </c>
      <c r="C163" s="35">
        <f>(持仓总表!H165*持仓总表!F165-SUMIF(当日交易记录!B:B,B163,当日交易记录!F:F))/D163</f>
        <v/>
      </c>
      <c r="D163" s="19">
        <f>持仓总表!F165-SUMIF(当日交易记录!B:B,B163,当日交易记录!D:D)</f>
        <v/>
      </c>
      <c r="E163" s="22" t="n"/>
    </row>
    <row r="164" s="30">
      <c r="A164" s="19" t="n">
        <v>164</v>
      </c>
      <c r="B164" s="19">
        <f>VLOOKUP(A164,持仓总表!A:B,2,0)</f>
        <v/>
      </c>
      <c r="C164" s="35">
        <f>(持仓总表!H166*持仓总表!F166-SUMIF(当日交易记录!B:B,B164,当日交易记录!F:F))/D164</f>
        <v/>
      </c>
      <c r="D164" s="19">
        <f>持仓总表!F166-SUMIF(当日交易记录!B:B,B164,当日交易记录!D:D)</f>
        <v/>
      </c>
      <c r="E164" s="22" t="n"/>
    </row>
    <row r="165" s="30">
      <c r="A165" s="19" t="n">
        <v>165</v>
      </c>
      <c r="B165" s="19">
        <f>VLOOKUP(A165,持仓总表!A:B,2,0)</f>
        <v/>
      </c>
      <c r="C165" s="35">
        <f>(持仓总表!H167*持仓总表!F167-SUMIF(当日交易记录!B:B,B165,当日交易记录!F:F))/D165</f>
        <v/>
      </c>
      <c r="D165" s="19">
        <f>持仓总表!F167-SUMIF(当日交易记录!B:B,B165,当日交易记录!D:D)</f>
        <v/>
      </c>
      <c r="E165" s="22" t="n"/>
    </row>
    <row r="166" s="30">
      <c r="A166" s="19" t="n">
        <v>166</v>
      </c>
      <c r="B166" s="19">
        <f>VLOOKUP(A166,持仓总表!A:B,2,0)</f>
        <v/>
      </c>
      <c r="C166" s="35">
        <f>(持仓总表!H168*持仓总表!F168-SUMIF(当日交易记录!B:B,B166,当日交易记录!F:F))/D166</f>
        <v/>
      </c>
      <c r="D166" s="19">
        <f>持仓总表!F168-SUMIF(当日交易记录!B:B,B166,当日交易记录!D:D)</f>
        <v/>
      </c>
      <c r="E166" s="22" t="n"/>
    </row>
    <row r="167" s="30">
      <c r="A167" s="19" t="n">
        <v>167</v>
      </c>
      <c r="B167" s="19">
        <f>VLOOKUP(A167,持仓总表!A:B,2,0)</f>
        <v/>
      </c>
      <c r="C167" s="35">
        <f>(持仓总表!H169*持仓总表!F169-SUMIF(当日交易记录!B:B,B167,当日交易记录!F:F))/D167</f>
        <v/>
      </c>
      <c r="D167" s="19">
        <f>持仓总表!F169-SUMIF(当日交易记录!B:B,B167,当日交易记录!D:D)</f>
        <v/>
      </c>
      <c r="E167" s="22" t="n"/>
    </row>
    <row r="168" s="30">
      <c r="A168" s="19" t="n">
        <v>168</v>
      </c>
      <c r="B168" s="19">
        <f>VLOOKUP(A168,持仓总表!A:B,2,0)</f>
        <v/>
      </c>
      <c r="C168" s="35">
        <f>(持仓总表!H170*持仓总表!F170-SUMIF(当日交易记录!B:B,B168,当日交易记录!F:F))/D168</f>
        <v/>
      </c>
      <c r="D168" s="19">
        <f>持仓总表!F170-SUMIF(当日交易记录!B:B,B168,当日交易记录!D:D)</f>
        <v/>
      </c>
      <c r="E168" s="22" t="n"/>
    </row>
    <row r="169" s="30">
      <c r="A169" s="19" t="n">
        <v>169</v>
      </c>
      <c r="B169" s="19">
        <f>VLOOKUP(A169,持仓总表!A:B,2,0)</f>
        <v/>
      </c>
      <c r="C169" s="35">
        <f>(持仓总表!H171*持仓总表!F171-SUMIF(当日交易记录!B:B,B169,当日交易记录!F:F))/D169</f>
        <v/>
      </c>
      <c r="D169" s="19">
        <f>持仓总表!F171-SUMIF(当日交易记录!B:B,B169,当日交易记录!D:D)</f>
        <v/>
      </c>
      <c r="E169" s="22" t="n"/>
    </row>
    <row r="170" s="30">
      <c r="A170" s="19" t="n">
        <v>170</v>
      </c>
      <c r="B170" s="19">
        <f>VLOOKUP(A170,持仓总表!A:B,2,0)</f>
        <v/>
      </c>
      <c r="C170" s="35">
        <f>(持仓总表!H172*持仓总表!F172-SUMIF(当日交易记录!B:B,B170,当日交易记录!F:F))/D170</f>
        <v/>
      </c>
      <c r="D170" s="19">
        <f>持仓总表!F172-SUMIF(当日交易记录!B:B,B170,当日交易记录!D:D)</f>
        <v/>
      </c>
      <c r="E170" s="22" t="n"/>
    </row>
    <row r="171" s="30">
      <c r="A171" s="19" t="n">
        <v>171</v>
      </c>
      <c r="B171" s="19">
        <f>VLOOKUP(A171,持仓总表!A:B,2,0)</f>
        <v/>
      </c>
      <c r="C171" s="35">
        <f>(持仓总表!H173*持仓总表!F173-SUMIF(当日交易记录!B:B,B171,当日交易记录!F:F))/D171</f>
        <v/>
      </c>
      <c r="D171" s="19">
        <f>持仓总表!F173-SUMIF(当日交易记录!B:B,B171,当日交易记录!D:D)</f>
        <v/>
      </c>
      <c r="E171" s="22" t="n"/>
    </row>
    <row r="172" s="30">
      <c r="A172" s="19" t="n">
        <v>172</v>
      </c>
      <c r="B172" s="19">
        <f>VLOOKUP(A172,持仓总表!A:B,2,0)</f>
        <v/>
      </c>
      <c r="C172" s="35">
        <f>(持仓总表!H174*持仓总表!F174-SUMIF(当日交易记录!B:B,B172,当日交易记录!F:F))/D172</f>
        <v/>
      </c>
      <c r="D172" s="19">
        <f>持仓总表!F174-SUMIF(当日交易记录!B:B,B172,当日交易记录!D:D)</f>
        <v/>
      </c>
      <c r="E172" s="22" t="n"/>
    </row>
    <row r="173" s="30">
      <c r="A173" s="19" t="n">
        <v>173</v>
      </c>
      <c r="B173" s="19">
        <f>VLOOKUP(A173,持仓总表!A:B,2,0)</f>
        <v/>
      </c>
      <c r="C173" s="35">
        <f>(持仓总表!H175*持仓总表!F175-SUMIF(当日交易记录!B:B,B173,当日交易记录!F:F))/D173</f>
        <v/>
      </c>
      <c r="D173" s="19">
        <f>持仓总表!F175-SUMIF(当日交易记录!B:B,B173,当日交易记录!D:D)</f>
        <v/>
      </c>
      <c r="E173" s="22" t="n"/>
    </row>
    <row r="174" s="30">
      <c r="A174" s="19" t="n">
        <v>174</v>
      </c>
      <c r="B174" s="19">
        <f>VLOOKUP(A174,持仓总表!A:B,2,0)</f>
        <v/>
      </c>
      <c r="C174" s="35">
        <f>(持仓总表!H176*持仓总表!F176-SUMIF(当日交易记录!B:B,B174,当日交易记录!F:F))/D174</f>
        <v/>
      </c>
      <c r="D174" s="19">
        <f>持仓总表!F176-SUMIF(当日交易记录!B:B,B174,当日交易记录!D:D)</f>
        <v/>
      </c>
      <c r="E174" s="22" t="n"/>
    </row>
    <row r="175" s="30">
      <c r="A175" s="19" t="n">
        <v>175</v>
      </c>
      <c r="B175" s="19">
        <f>VLOOKUP(A175,持仓总表!A:B,2,0)</f>
        <v/>
      </c>
      <c r="C175" s="35">
        <f>(持仓总表!H177*持仓总表!F177-SUMIF(当日交易记录!B:B,B175,当日交易记录!F:F))/D175</f>
        <v/>
      </c>
      <c r="D175" s="19">
        <f>持仓总表!F177-SUMIF(当日交易记录!B:B,B175,当日交易记录!D:D)</f>
        <v/>
      </c>
      <c r="E175" s="22" t="n"/>
    </row>
    <row r="176" s="30">
      <c r="A176" s="19" t="n">
        <v>176</v>
      </c>
      <c r="B176" s="19">
        <f>VLOOKUP(A176,持仓总表!A:B,2,0)</f>
        <v/>
      </c>
      <c r="C176" s="35">
        <f>(持仓总表!H178*持仓总表!F178-SUMIF(当日交易记录!B:B,B176,当日交易记录!F:F))/D176</f>
        <v/>
      </c>
      <c r="D176" s="19">
        <f>持仓总表!F178-SUMIF(当日交易记录!B:B,B176,当日交易记录!D:D)</f>
        <v/>
      </c>
      <c r="E176" s="22" t="n"/>
    </row>
    <row r="177" s="30">
      <c r="A177" s="19" t="n">
        <v>177</v>
      </c>
      <c r="B177" s="19">
        <f>VLOOKUP(A177,持仓总表!A:B,2,0)</f>
        <v/>
      </c>
      <c r="C177" s="35">
        <f>(持仓总表!H179*持仓总表!F179-SUMIF(当日交易记录!B:B,B177,当日交易记录!F:F))/D177</f>
        <v/>
      </c>
      <c r="D177" s="19">
        <f>持仓总表!F179-SUMIF(当日交易记录!B:B,B177,当日交易记录!D:D)</f>
        <v/>
      </c>
      <c r="E177" s="22" t="n"/>
    </row>
    <row r="178" s="30">
      <c r="A178" s="19" t="n">
        <v>178</v>
      </c>
      <c r="B178" s="19">
        <f>VLOOKUP(A178,持仓总表!A:B,2,0)</f>
        <v/>
      </c>
      <c r="C178" s="35">
        <f>(持仓总表!H180*持仓总表!F180-SUMIF(当日交易记录!B:B,B178,当日交易记录!F:F))/D178</f>
        <v/>
      </c>
      <c r="D178" s="19">
        <f>持仓总表!F180-SUMIF(当日交易记录!B:B,B178,当日交易记录!D:D)</f>
        <v/>
      </c>
      <c r="E178" s="22" t="n"/>
    </row>
    <row r="179" s="30">
      <c r="A179" s="19" t="n">
        <v>179</v>
      </c>
      <c r="B179" s="19">
        <f>VLOOKUP(A179,持仓总表!A:B,2,0)</f>
        <v/>
      </c>
      <c r="C179" s="35">
        <f>(持仓总表!H181*持仓总表!F181-SUMIF(当日交易记录!B:B,B179,当日交易记录!F:F))/D179</f>
        <v/>
      </c>
      <c r="D179" s="19">
        <f>持仓总表!F181-SUMIF(当日交易记录!B:B,B179,当日交易记录!D:D)</f>
        <v/>
      </c>
      <c r="E179" s="22" t="n"/>
    </row>
    <row r="180" s="30">
      <c r="A180" s="19" t="n">
        <v>180</v>
      </c>
      <c r="B180" s="19">
        <f>VLOOKUP(A180,持仓总表!A:B,2,0)</f>
        <v/>
      </c>
      <c r="C180" s="35">
        <f>(持仓总表!H182*持仓总表!F182-SUMIF(当日交易记录!B:B,B180,当日交易记录!F:F))/D180</f>
        <v/>
      </c>
      <c r="D180" s="19">
        <f>持仓总表!F182-SUMIF(当日交易记录!B:B,B180,当日交易记录!D:D)</f>
        <v/>
      </c>
      <c r="E180" s="22" t="n"/>
    </row>
    <row r="181" s="30">
      <c r="A181" s="19" t="n">
        <v>181</v>
      </c>
      <c r="B181" s="19">
        <f>VLOOKUP(A181,持仓总表!A:B,2,0)</f>
        <v/>
      </c>
      <c r="C181" s="35">
        <f>(持仓总表!H183*持仓总表!F183-SUMIF(当日交易记录!B:B,B181,当日交易记录!F:F))/D181</f>
        <v/>
      </c>
      <c r="D181" s="19">
        <f>持仓总表!F183-SUMIF(当日交易记录!B:B,B181,当日交易记录!D:D)</f>
        <v/>
      </c>
      <c r="E181" s="22" t="n"/>
    </row>
    <row r="182" s="30">
      <c r="A182" s="19" t="n">
        <v>182</v>
      </c>
      <c r="B182" s="19">
        <f>VLOOKUP(A182,持仓总表!A:B,2,0)</f>
        <v/>
      </c>
      <c r="C182" s="35">
        <f>(持仓总表!H184*持仓总表!F184-SUMIF(当日交易记录!B:B,B182,当日交易记录!F:F))/D182</f>
        <v/>
      </c>
      <c r="D182" s="19">
        <f>持仓总表!F184-SUMIF(当日交易记录!B:B,B182,当日交易记录!D:D)</f>
        <v/>
      </c>
      <c r="E182" s="22" t="n"/>
    </row>
    <row r="183" s="30">
      <c r="A183" s="19" t="n">
        <v>183</v>
      </c>
      <c r="B183" s="19">
        <f>VLOOKUP(A183,持仓总表!A:B,2,0)</f>
        <v/>
      </c>
      <c r="C183" s="35">
        <f>(持仓总表!H185*持仓总表!F185-SUMIF(当日交易记录!B:B,B183,当日交易记录!F:F))/D183</f>
        <v/>
      </c>
      <c r="D183" s="19">
        <f>持仓总表!F185-SUMIF(当日交易记录!B:B,B183,当日交易记录!D:D)</f>
        <v/>
      </c>
      <c r="E183" s="22" t="n"/>
    </row>
    <row r="184" s="30">
      <c r="A184" s="19" t="n">
        <v>184</v>
      </c>
      <c r="B184" s="19">
        <f>VLOOKUP(A184,持仓总表!A:B,2,0)</f>
        <v/>
      </c>
      <c r="C184" s="35">
        <f>(持仓总表!H186*持仓总表!F186-SUMIF(当日交易记录!B:B,B184,当日交易记录!F:F))/D184</f>
        <v/>
      </c>
      <c r="D184" s="19">
        <f>持仓总表!F186-SUMIF(当日交易记录!B:B,B184,当日交易记录!D:D)</f>
        <v/>
      </c>
      <c r="E184" s="22" t="n"/>
    </row>
    <row r="185" s="30">
      <c r="A185" s="19" t="n">
        <v>185</v>
      </c>
      <c r="B185" s="19">
        <f>VLOOKUP(A185,持仓总表!A:B,2,0)</f>
        <v/>
      </c>
      <c r="C185" s="35">
        <f>(持仓总表!H187*持仓总表!F187-SUMIF(当日交易记录!B:B,B185,当日交易记录!F:F))/D185</f>
        <v/>
      </c>
      <c r="D185" s="19">
        <f>持仓总表!F187-SUMIF(当日交易记录!B:B,B185,当日交易记录!D:D)</f>
        <v/>
      </c>
      <c r="E185" s="22" t="n"/>
    </row>
    <row r="186" s="30">
      <c r="A186" s="19" t="n">
        <v>186</v>
      </c>
      <c r="B186" s="19">
        <f>VLOOKUP(A186,持仓总表!A:B,2,0)</f>
        <v/>
      </c>
      <c r="C186" s="35">
        <f>(持仓总表!H188*持仓总表!F188-SUMIF(当日交易记录!B:B,B186,当日交易记录!F:F))/D186</f>
        <v/>
      </c>
      <c r="D186" s="19">
        <f>持仓总表!F188-SUMIF(当日交易记录!B:B,B186,当日交易记录!D:D)</f>
        <v/>
      </c>
      <c r="E186" s="22" t="n"/>
    </row>
    <row r="187" s="30">
      <c r="A187" s="19" t="n">
        <v>187</v>
      </c>
      <c r="B187" s="19">
        <f>VLOOKUP(A187,持仓总表!A:B,2,0)</f>
        <v/>
      </c>
      <c r="C187" s="35">
        <f>(持仓总表!H189*持仓总表!F189-SUMIF(当日交易记录!B:B,B187,当日交易记录!F:F))/D187</f>
        <v/>
      </c>
      <c r="D187" s="19">
        <f>持仓总表!F189-SUMIF(当日交易记录!B:B,B187,当日交易记录!D:D)</f>
        <v/>
      </c>
      <c r="E187" s="22" t="n"/>
    </row>
    <row r="188" s="30">
      <c r="A188" s="19" t="n">
        <v>188</v>
      </c>
      <c r="B188" s="19">
        <f>VLOOKUP(A188,持仓总表!A:B,2,0)</f>
        <v/>
      </c>
      <c r="C188" s="35">
        <f>(持仓总表!H190*持仓总表!F190-SUMIF(当日交易记录!B:B,B188,当日交易记录!F:F))/D188</f>
        <v/>
      </c>
      <c r="D188" s="19">
        <f>持仓总表!F190-SUMIF(当日交易记录!B:B,B188,当日交易记录!D:D)</f>
        <v/>
      </c>
      <c r="E188" s="22" t="n"/>
    </row>
    <row r="189" s="30">
      <c r="A189" s="19" t="n">
        <v>189</v>
      </c>
      <c r="B189" s="19">
        <f>VLOOKUP(A189,持仓总表!A:B,2,0)</f>
        <v/>
      </c>
      <c r="C189" s="35">
        <f>(持仓总表!H191*持仓总表!F191-SUMIF(当日交易记录!B:B,B189,当日交易记录!F:F))/D189</f>
        <v/>
      </c>
      <c r="D189" s="19">
        <f>持仓总表!F191-SUMIF(当日交易记录!B:B,B189,当日交易记录!D:D)</f>
        <v/>
      </c>
      <c r="E189" s="22" t="n"/>
    </row>
    <row r="190" s="30">
      <c r="A190" s="19" t="n">
        <v>190</v>
      </c>
      <c r="B190" s="19">
        <f>VLOOKUP(A190,持仓总表!A:B,2,0)</f>
        <v/>
      </c>
      <c r="C190" s="35">
        <f>(持仓总表!H192*持仓总表!F192-SUMIF(当日交易记录!B:B,B190,当日交易记录!F:F))/D190</f>
        <v/>
      </c>
      <c r="D190" s="19">
        <f>持仓总表!F192-SUMIF(当日交易记录!B:B,B190,当日交易记录!D:D)</f>
        <v/>
      </c>
      <c r="E190" s="22" t="n"/>
    </row>
    <row r="191" s="30">
      <c r="A191" s="19" t="n">
        <v>191</v>
      </c>
      <c r="B191" s="19">
        <f>VLOOKUP(A191,持仓总表!A:B,2,0)</f>
        <v/>
      </c>
      <c r="C191" s="35">
        <f>(持仓总表!H193*持仓总表!F193-SUMIF(当日交易记录!B:B,B191,当日交易记录!F:F))/D191</f>
        <v/>
      </c>
      <c r="D191" s="19">
        <f>持仓总表!F193-SUMIF(当日交易记录!B:B,B191,当日交易记录!D:D)</f>
        <v/>
      </c>
      <c r="E191" s="22" t="n"/>
    </row>
    <row r="192" s="30">
      <c r="A192" s="19" t="n">
        <v>192</v>
      </c>
      <c r="B192" s="19">
        <f>VLOOKUP(A192,持仓总表!A:B,2,0)</f>
        <v/>
      </c>
      <c r="C192" s="35">
        <f>(持仓总表!H194*持仓总表!F194-SUMIF(当日交易记录!B:B,B192,当日交易记录!F:F))/D192</f>
        <v/>
      </c>
      <c r="D192" s="19">
        <f>持仓总表!F194-SUMIF(当日交易记录!B:B,B192,当日交易记录!D:D)</f>
        <v/>
      </c>
      <c r="E192" s="22" t="n"/>
    </row>
    <row r="193" s="30">
      <c r="A193" s="19" t="n">
        <v>193</v>
      </c>
      <c r="B193" s="19">
        <f>VLOOKUP(A193,持仓总表!A:B,2,0)</f>
        <v/>
      </c>
      <c r="C193" s="35">
        <f>(持仓总表!H195*持仓总表!F195-SUMIF(当日交易记录!B:B,B193,当日交易记录!F:F))/D193</f>
        <v/>
      </c>
      <c r="D193" s="19">
        <f>持仓总表!F195-SUMIF(当日交易记录!B:B,B193,当日交易记录!D:D)</f>
        <v/>
      </c>
      <c r="E193" s="22" t="n"/>
    </row>
    <row r="194" s="30">
      <c r="A194" s="19" t="n">
        <v>194</v>
      </c>
      <c r="B194" s="19">
        <f>VLOOKUP(A194,持仓总表!A:B,2,0)</f>
        <v/>
      </c>
      <c r="C194" s="35">
        <f>(持仓总表!H196*持仓总表!F196-SUMIF(当日交易记录!B:B,B194,当日交易记录!F:F))/D194</f>
        <v/>
      </c>
      <c r="D194" s="19">
        <f>持仓总表!F196-SUMIF(当日交易记录!B:B,B194,当日交易记录!D:D)</f>
        <v/>
      </c>
      <c r="E194" s="22" t="n"/>
    </row>
    <row r="195" s="30">
      <c r="A195" s="19" t="n">
        <v>195</v>
      </c>
      <c r="B195" s="19">
        <f>VLOOKUP(A195,持仓总表!A:B,2,0)</f>
        <v/>
      </c>
      <c r="C195" s="35">
        <f>(持仓总表!H197*持仓总表!F197-SUMIF(当日交易记录!B:B,B195,当日交易记录!F:F))/D195</f>
        <v/>
      </c>
      <c r="D195" s="19">
        <f>持仓总表!F197-SUMIF(当日交易记录!B:B,B195,当日交易记录!D:D)</f>
        <v/>
      </c>
      <c r="E195" s="22" t="n"/>
    </row>
    <row r="196" s="30">
      <c r="A196" s="19" t="n">
        <v>196</v>
      </c>
      <c r="B196" s="19">
        <f>VLOOKUP(A196,持仓总表!A:B,2,0)</f>
        <v/>
      </c>
      <c r="C196" s="35">
        <f>(持仓总表!H198*持仓总表!F198-SUMIF(当日交易记录!B:B,B196,当日交易记录!F:F))/D196</f>
        <v/>
      </c>
      <c r="D196" s="19">
        <f>持仓总表!F198-SUMIF(当日交易记录!B:B,B196,当日交易记录!D:D)</f>
        <v/>
      </c>
      <c r="E196" s="22" t="n"/>
    </row>
    <row r="197" s="30">
      <c r="A197" s="19" t="n">
        <v>197</v>
      </c>
      <c r="B197" s="19">
        <f>VLOOKUP(A197,持仓总表!A:B,2,0)</f>
        <v/>
      </c>
      <c r="C197" s="35">
        <f>(持仓总表!H199*持仓总表!F199-SUMIF(当日交易记录!B:B,B197,当日交易记录!F:F))/D197</f>
        <v/>
      </c>
      <c r="D197" s="19">
        <f>持仓总表!F199-SUMIF(当日交易记录!B:B,B197,当日交易记录!D:D)</f>
        <v/>
      </c>
      <c r="E197" s="22" t="n"/>
    </row>
    <row r="198" s="30">
      <c r="A198" s="19" t="n">
        <v>198</v>
      </c>
      <c r="B198" s="19">
        <f>VLOOKUP(A198,持仓总表!A:B,2,0)</f>
        <v/>
      </c>
      <c r="C198" s="35">
        <f>(持仓总表!H200*持仓总表!F200-SUMIF(当日交易记录!B:B,B198,当日交易记录!F:F))/D198</f>
        <v/>
      </c>
      <c r="D198" s="19">
        <f>持仓总表!F200-SUMIF(当日交易记录!B:B,B198,当日交易记录!D:D)</f>
        <v/>
      </c>
      <c r="E198" s="22" t="n"/>
    </row>
    <row r="199" s="30">
      <c r="A199" s="19" t="n">
        <v>199</v>
      </c>
      <c r="B199" s="19">
        <f>VLOOKUP(A199,持仓总表!A:B,2,0)</f>
        <v/>
      </c>
      <c r="C199" s="35">
        <f>(持仓总表!H201*持仓总表!F201-SUMIF(当日交易记录!B:B,B199,当日交易记录!F:F))/D199</f>
        <v/>
      </c>
      <c r="D199" s="19">
        <f>持仓总表!F201-SUMIF(当日交易记录!B:B,B199,当日交易记录!D:D)</f>
        <v/>
      </c>
      <c r="E199" s="22" t="n"/>
    </row>
    <row r="200" s="30">
      <c r="A200" s="19" t="n">
        <v>200</v>
      </c>
      <c r="B200" s="19">
        <f>VLOOKUP(A200,持仓总表!A:B,2,0)</f>
        <v/>
      </c>
      <c r="C200" s="35">
        <f>(持仓总表!H202*持仓总表!F202-SUMIF(当日交易记录!B:B,B200,当日交易记录!F:F))/D200</f>
        <v/>
      </c>
      <c r="D200" s="19">
        <f>持仓总表!F202-SUMIF(当日交易记录!B:B,B200,当日交易记录!D:D)</f>
        <v/>
      </c>
      <c r="E200" s="2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E23" sqref="E23"/>
    </sheetView>
  </sheetViews>
  <sheetFormatPr baseColWidth="8" defaultColWidth="9" defaultRowHeight="15" outlineLevelCol="0"/>
  <cols>
    <col width="9" customWidth="1" style="2" min="1" max="1"/>
    <col width="13.247619047619" customWidth="1" style="2" min="2" max="2"/>
    <col width="15" customWidth="1" style="29" min="3" max="3"/>
    <col width="21.6285714285714" customWidth="1" style="29" min="4" max="5"/>
    <col width="17.247619047619" customWidth="1" style="29" min="6" max="6"/>
    <col width="13.3714285714286" customWidth="1" style="29" min="7" max="7"/>
    <col width="12.247619047619" customWidth="1" style="29" min="8" max="8"/>
    <col width="19.8761904761905" customWidth="1" style="22" min="9" max="9"/>
    <col width="9" customWidth="1" style="22" min="10" max="10"/>
    <col width="13.1238095238095" customWidth="1" style="29" min="11" max="11"/>
    <col width="13.5047619047619" customWidth="1" style="30" min="12" max="12"/>
  </cols>
  <sheetData>
    <row r="1" ht="38" customHeight="1" s="30">
      <c r="A1" s="4" t="inlineStr">
        <is>
          <t>小组波段汇总表</t>
        </is>
      </c>
    </row>
    <row r="2" ht="21" customFormat="1" customHeight="1" s="22">
      <c r="A2" s="5" t="inlineStr">
        <is>
          <t>序号</t>
        </is>
      </c>
      <c r="B2" s="5" t="inlineStr">
        <is>
          <t>股票名称</t>
        </is>
      </c>
      <c r="C2" s="31" t="inlineStr">
        <is>
          <t>盈亏比例</t>
        </is>
      </c>
      <c r="D2" s="31" t="inlineStr">
        <is>
          <t>持仓成本</t>
        </is>
      </c>
      <c r="E2" s="31" t="inlineStr">
        <is>
          <t>持仓市值</t>
        </is>
      </c>
      <c r="F2" s="5" t="inlineStr">
        <is>
          <t>持仓股数</t>
        </is>
      </c>
      <c r="G2" s="31" t="inlineStr">
        <is>
          <t xml:space="preserve">现价 </t>
        </is>
      </c>
      <c r="H2" s="31" t="inlineStr">
        <is>
          <t>成本价</t>
        </is>
      </c>
      <c r="I2" s="31" t="inlineStr">
        <is>
          <t>盈亏额</t>
        </is>
      </c>
      <c r="J2" s="2" t="n"/>
      <c r="K2" s="32" t="n"/>
      <c r="L2" s="16" t="n"/>
    </row>
    <row r="3" ht="21" customHeight="1" s="30">
      <c r="A3" s="7" t="n">
        <v>1</v>
      </c>
      <c r="B3" s="33" t="inlineStr">
        <is>
          <t>国光电气</t>
        </is>
      </c>
      <c r="C3" s="9">
        <f>I3/D3</f>
        <v/>
      </c>
      <c r="D3" s="34">
        <f>H3*F3</f>
        <v/>
      </c>
      <c r="E3" s="34">
        <f>G3*F3</f>
        <v/>
      </c>
      <c r="F3" s="34" t="n">
        <v>2700</v>
      </c>
      <c r="G3" s="34" t="n">
        <v>130.2</v>
      </c>
      <c r="H3" s="34" t="n">
        <v>131.5</v>
      </c>
      <c r="I3" s="34">
        <f>E3-D3</f>
        <v/>
      </c>
      <c r="K3" s="35" t="n"/>
      <c r="L3" s="18" t="n"/>
    </row>
    <row r="4" ht="21" customHeight="1" s="30">
      <c r="A4" s="7" t="n">
        <v>2</v>
      </c>
      <c r="B4" s="33" t="n"/>
      <c r="C4" s="9">
        <f>I4/D4</f>
        <v/>
      </c>
      <c r="D4" s="34">
        <f>H4*F4</f>
        <v/>
      </c>
      <c r="E4" s="34">
        <f>G4*F4</f>
        <v/>
      </c>
      <c r="F4" s="34" t="n">
        <v>13800</v>
      </c>
      <c r="G4" s="34" t="n"/>
      <c r="H4" s="34" t="n"/>
      <c r="I4" s="34">
        <f>E4-D4</f>
        <v/>
      </c>
    </row>
    <row r="5" ht="21" customHeight="1" s="30">
      <c r="A5" s="7" t="n">
        <v>3</v>
      </c>
      <c r="B5" s="33" t="n"/>
      <c r="C5" s="9">
        <f>I5/D5</f>
        <v/>
      </c>
      <c r="D5" s="34">
        <f>H5*F5</f>
        <v/>
      </c>
      <c r="E5" s="34">
        <f>G5*F5</f>
        <v/>
      </c>
      <c r="F5" s="34" t="n">
        <v>3500</v>
      </c>
      <c r="G5" s="34" t="n"/>
      <c r="H5" s="34" t="n"/>
      <c r="I5" s="34">
        <f>E5-D5</f>
        <v/>
      </c>
      <c r="K5" s="0" t="n"/>
    </row>
    <row r="6" ht="21" customHeight="1" s="30">
      <c r="A6" s="7" t="n">
        <v>4</v>
      </c>
      <c r="B6" s="33" t="n"/>
      <c r="C6" s="9">
        <f>I6/D6</f>
        <v/>
      </c>
      <c r="D6" s="34">
        <f>H6*F6</f>
        <v/>
      </c>
      <c r="E6" s="34">
        <f>G6*F6</f>
        <v/>
      </c>
      <c r="F6" s="34" t="n">
        <v>7300</v>
      </c>
      <c r="G6" s="34" t="n"/>
      <c r="H6" s="34" t="n"/>
      <c r="I6" s="34">
        <f>E6-D6</f>
        <v/>
      </c>
      <c r="K6" s="0" t="n"/>
    </row>
    <row r="7" ht="21" customHeight="1" s="30">
      <c r="A7" s="7" t="n">
        <v>5</v>
      </c>
      <c r="B7" s="33" t="n"/>
      <c r="C7" s="9">
        <f>I7/D7</f>
        <v/>
      </c>
      <c r="D7" s="34">
        <f>H7*F7</f>
        <v/>
      </c>
      <c r="E7" s="34">
        <f>G7*F7</f>
        <v/>
      </c>
      <c r="F7" s="34" t="n">
        <v>6548</v>
      </c>
      <c r="G7" s="34" t="n"/>
      <c r="H7" s="34" t="n"/>
      <c r="I7" s="34">
        <f>E7-D7</f>
        <v/>
      </c>
      <c r="K7" s="0" t="n"/>
    </row>
    <row r="8" ht="21" customHeight="1" s="30">
      <c r="A8" s="7" t="n">
        <v>6</v>
      </c>
      <c r="B8" s="33" t="n"/>
      <c r="C8" s="9">
        <f>I8/D8</f>
        <v/>
      </c>
      <c r="D8" s="34">
        <f>H8*F8</f>
        <v/>
      </c>
      <c r="E8" s="34">
        <f>G8*F8</f>
        <v/>
      </c>
      <c r="F8" s="34" t="n">
        <v>3900</v>
      </c>
      <c r="G8" s="34" t="n"/>
      <c r="H8" s="34" t="n"/>
      <c r="I8" s="34">
        <f>E8-D8</f>
        <v/>
      </c>
      <c r="K8" s="0" t="n"/>
    </row>
    <row r="9" ht="21" customHeight="1" s="30">
      <c r="A9" s="7" t="n">
        <v>7</v>
      </c>
      <c r="B9" s="33" t="n"/>
      <c r="C9" s="9">
        <f>I9/D9</f>
        <v/>
      </c>
      <c r="D9" s="34">
        <f>H9*F9</f>
        <v/>
      </c>
      <c r="E9" s="34">
        <f>G9*F9</f>
        <v/>
      </c>
      <c r="F9" s="34" t="n">
        <v>19300</v>
      </c>
      <c r="G9" s="34" t="n"/>
      <c r="H9" s="34" t="n"/>
      <c r="I9" s="34">
        <f>E9-D9</f>
        <v/>
      </c>
      <c r="K9" s="0" t="n"/>
    </row>
    <row r="10" ht="21" customHeight="1" s="30">
      <c r="A10" s="7" t="n">
        <v>8</v>
      </c>
      <c r="B10" s="33" t="n"/>
      <c r="C10" s="9">
        <f>I10/D10</f>
        <v/>
      </c>
      <c r="D10" s="34">
        <f>H10*F10</f>
        <v/>
      </c>
      <c r="E10" s="34">
        <f>G10*F10</f>
        <v/>
      </c>
      <c r="F10" s="34" t="n">
        <v>1300</v>
      </c>
      <c r="G10" s="34" t="n"/>
      <c r="H10" s="34" t="n"/>
      <c r="I10" s="34">
        <f>E10-D10</f>
        <v/>
      </c>
      <c r="K10" s="0" t="n"/>
    </row>
    <row r="11" ht="21" customHeight="1" s="30">
      <c r="A11" s="7" t="n">
        <v>9</v>
      </c>
      <c r="B11" s="33" t="n"/>
      <c r="C11" s="9">
        <f>I11/D11</f>
        <v/>
      </c>
      <c r="D11" s="34">
        <f>H11*F11</f>
        <v/>
      </c>
      <c r="E11" s="34">
        <f>G11*F11</f>
        <v/>
      </c>
      <c r="F11" s="34" t="n">
        <v>2500</v>
      </c>
      <c r="G11" s="34" t="n"/>
      <c r="H11" s="34" t="n"/>
      <c r="I11" s="34">
        <f>E11-D11</f>
        <v/>
      </c>
      <c r="K11" s="0" t="n"/>
    </row>
    <row r="12" ht="21" customHeight="1" s="30">
      <c r="A12" s="7" t="n">
        <v>10</v>
      </c>
      <c r="B12" s="33" t="n"/>
      <c r="C12" s="9">
        <f>I12/D12</f>
        <v/>
      </c>
      <c r="D12" s="34">
        <f>H12*F12</f>
        <v/>
      </c>
      <c r="E12" s="34">
        <f>G12*F12</f>
        <v/>
      </c>
      <c r="F12" s="34" t="n">
        <v>5700</v>
      </c>
      <c r="G12" s="34" t="n"/>
      <c r="H12" s="34" t="n"/>
      <c r="I12" s="34">
        <f>E12-D12</f>
        <v/>
      </c>
      <c r="K12" s="0" t="n"/>
    </row>
    <row r="13" ht="21" customHeight="1" s="30">
      <c r="A13" s="7" t="n">
        <v>11</v>
      </c>
      <c r="B13" s="33" t="n"/>
      <c r="C13" s="9">
        <f>I13/D13</f>
        <v/>
      </c>
      <c r="D13" s="34">
        <f>H13*F13</f>
        <v/>
      </c>
      <c r="E13" s="34">
        <f>G13*F13</f>
        <v/>
      </c>
      <c r="F13" s="34" t="n">
        <v>3600</v>
      </c>
      <c r="G13" s="34" t="n"/>
      <c r="H13" s="34" t="n"/>
      <c r="I13" s="34">
        <f>E13-D13</f>
        <v/>
      </c>
      <c r="K13" s="0" t="n"/>
    </row>
    <row r="14" ht="21" customHeight="1" s="30">
      <c r="A14" s="7" t="n">
        <v>12</v>
      </c>
      <c r="B14" s="33" t="n"/>
      <c r="C14" s="9">
        <f>I14/D14</f>
        <v/>
      </c>
      <c r="D14" s="34">
        <f>H14*F14</f>
        <v/>
      </c>
      <c r="E14" s="34">
        <f>G14*F14</f>
        <v/>
      </c>
      <c r="F14" s="34" t="n">
        <v>1000</v>
      </c>
      <c r="G14" s="34" t="n"/>
      <c r="H14" s="34" t="n"/>
      <c r="I14" s="34">
        <f>E14-D14</f>
        <v/>
      </c>
      <c r="K14" s="0" t="n"/>
    </row>
    <row r="15" ht="21" customHeight="1" s="30">
      <c r="A15" s="7" t="n">
        <v>13</v>
      </c>
      <c r="B15" s="33" t="n"/>
      <c r="C15" s="9">
        <f>I15/D15</f>
        <v/>
      </c>
      <c r="D15" s="34">
        <f>H15*F15</f>
        <v/>
      </c>
      <c r="E15" s="34">
        <f>G15*F15</f>
        <v/>
      </c>
      <c r="F15" s="34" t="n"/>
      <c r="G15" s="34" t="n"/>
      <c r="H15" s="34" t="n"/>
      <c r="I15" s="34">
        <f>E15-D15</f>
        <v/>
      </c>
      <c r="K15" s="0" t="n"/>
    </row>
    <row r="16" ht="21" customHeight="1" s="30">
      <c r="A16" s="36" t="inlineStr">
        <is>
          <t>合计</t>
        </is>
      </c>
      <c r="B16" s="37" t="n"/>
      <c r="C16" s="9" t="n">
        <v>0.167553829033947</v>
      </c>
      <c r="D16" s="34">
        <f>SUM(D3:D15)</f>
        <v/>
      </c>
      <c r="E16" s="34">
        <f>SUM(E3:E15)</f>
        <v/>
      </c>
      <c r="F16" s="38">
        <f>SUM(F3:F15)</f>
        <v/>
      </c>
      <c r="G16" s="39" t="n"/>
      <c r="H16" s="39" t="n"/>
      <c r="I16" s="34" t="n">
        <v>605214.49465</v>
      </c>
    </row>
    <row r="17">
      <c r="I17" s="22" t="n">
        <v>605214.49465</v>
      </c>
    </row>
    <row r="18">
      <c r="I18" s="22" t="n">
        <v>0</v>
      </c>
    </row>
    <row r="1048330" s="30"/>
    <row r="1048331" s="30"/>
    <row r="1048332" s="30"/>
    <row r="1048333" s="30"/>
    <row r="1048334" s="30"/>
    <row r="1048335" s="30"/>
    <row r="1048336" s="30"/>
    <row r="1048337" s="30"/>
    <row r="1048338" s="30"/>
    <row r="1048339" s="30"/>
    <row r="1048340" s="30"/>
    <row r="1048341" s="30"/>
    <row r="1048342" s="30"/>
    <row r="1048343" s="30"/>
    <row r="1048344" s="30"/>
    <row r="1048345" s="30"/>
    <row r="1048346" s="30"/>
    <row r="1048347" s="30"/>
    <row r="1048348" s="30"/>
    <row r="1048349" s="30"/>
    <row r="1048350" s="30"/>
    <row r="1048351" s="30"/>
    <row r="1048352" s="30"/>
    <row r="1048353" s="30"/>
    <row r="1048354" s="30"/>
    <row r="1048355" s="30"/>
    <row r="1048356" s="30"/>
    <row r="1048357" s="30"/>
    <row r="1048358" s="30"/>
    <row r="1048359" s="30"/>
    <row r="1048360" s="30"/>
    <row r="1048361" s="30"/>
    <row r="1048362" s="30"/>
    <row r="1048363" s="30"/>
    <row r="1048364" s="30"/>
    <row r="1048365" s="30"/>
    <row r="1048366" s="30"/>
    <row r="1048367" s="30"/>
    <row r="1048368" s="30"/>
    <row r="1048369" s="30"/>
    <row r="1048370" s="30"/>
    <row r="1048371" s="30"/>
    <row r="1048372" s="30"/>
    <row r="1048373" s="30"/>
    <row r="1048374" s="30"/>
    <row r="1048375" s="30"/>
    <row r="1048376" s="30"/>
    <row r="1048377" s="30"/>
    <row r="1048378" s="30"/>
    <row r="1048379" s="30"/>
    <row r="1048380" s="30"/>
    <row r="1048381" s="30"/>
    <row r="1048382" s="30"/>
    <row r="1048383" s="30"/>
    <row r="1048384" s="30"/>
    <row r="1048385" s="30"/>
    <row r="1048386" s="30"/>
    <row r="1048387" s="30"/>
    <row r="1048388" s="30"/>
    <row r="1048389" s="30"/>
    <row r="1048390" s="30"/>
    <row r="1048391" s="30"/>
    <row r="1048392" s="30"/>
    <row r="1048393" s="30"/>
    <row r="1048394" s="30"/>
    <row r="1048395" s="30"/>
    <row r="1048396" s="30"/>
    <row r="1048397" s="30"/>
    <row r="1048398" s="30"/>
    <row r="1048399" s="30"/>
    <row r="1048400" s="30"/>
    <row r="1048401" s="30"/>
    <row r="1048402" s="30"/>
    <row r="1048403" s="30"/>
    <row r="1048404" s="30"/>
    <row r="1048405" s="30"/>
    <row r="1048406" s="30"/>
    <row r="1048407" s="30"/>
    <row r="1048408" s="30"/>
    <row r="1048409" s="30"/>
    <row r="1048410" s="30"/>
    <row r="1048411" s="30"/>
    <row r="1048412" s="30"/>
    <row r="1048413" s="30"/>
    <row r="1048414" s="30"/>
    <row r="1048415" s="30"/>
    <row r="1048416" s="30"/>
    <row r="1048417" s="30"/>
    <row r="1048418" s="30"/>
    <row r="1048419" s="30"/>
    <row r="1048420" s="30"/>
    <row r="1048421" s="30"/>
    <row r="1048422" s="30"/>
    <row r="1048423" s="30"/>
    <row r="1048424" s="30"/>
    <row r="1048425" s="30"/>
    <row r="1048426" s="30"/>
    <row r="1048427" s="30"/>
    <row r="1048428" s="30"/>
    <row r="1048429" s="30"/>
    <row r="1048430" s="30"/>
    <row r="1048431" s="30"/>
    <row r="1048432" s="30"/>
    <row r="1048433" s="30"/>
    <row r="1048434" s="30"/>
    <row r="1048435" s="30"/>
    <row r="1048436" s="30"/>
    <row r="1048437" s="30"/>
    <row r="1048438" s="30"/>
    <row r="1048439" s="30"/>
    <row r="1048440" s="30"/>
    <row r="1048441" s="30"/>
    <row r="1048442" s="30"/>
    <row r="1048443" s="30"/>
    <row r="1048444" s="30"/>
    <row r="1048445" s="30"/>
    <row r="1048446" s="30"/>
    <row r="1048447" s="30"/>
    <row r="1048448" s="30"/>
    <row r="1048449" s="30"/>
    <row r="1048450" s="30"/>
    <row r="1048451" s="30"/>
    <row r="1048452" s="30"/>
    <row r="1048453" s="30"/>
    <row r="1048454" s="30"/>
    <row r="1048455" s="30"/>
    <row r="1048456" s="30"/>
    <row r="1048457" s="30"/>
    <row r="1048458" s="30"/>
    <row r="1048459" s="30"/>
    <row r="1048460" s="30"/>
    <row r="1048461" s="30"/>
    <row r="1048462" s="30"/>
    <row r="1048463" s="30"/>
    <row r="1048464" s="30"/>
    <row r="1048465" s="30"/>
    <row r="1048466" s="30"/>
    <row r="1048467" s="30"/>
    <row r="1048468" s="30"/>
    <row r="1048469" s="30"/>
    <row r="1048470" s="30"/>
    <row r="1048471" s="30"/>
    <row r="1048472" s="30"/>
    <row r="1048473" s="30"/>
    <row r="1048474" s="30"/>
    <row r="1048475" s="30"/>
    <row r="1048476" s="30"/>
    <row r="1048477" s="30"/>
    <row r="1048478" s="30"/>
    <row r="1048479" s="30"/>
    <row r="1048480" s="30"/>
    <row r="1048481" s="30"/>
    <row r="1048482" s="30"/>
    <row r="1048483" s="30"/>
    <row r="1048484" s="30"/>
    <row r="1048485" s="30"/>
    <row r="1048486" s="30"/>
    <row r="1048487" s="30"/>
    <row r="1048488" s="30"/>
    <row r="1048489" s="30"/>
    <row r="1048490" s="30"/>
    <row r="1048491" s="30"/>
    <row r="1048492" s="30"/>
    <row r="1048493" s="30"/>
    <row r="1048494" s="30"/>
    <row r="1048495" s="30"/>
    <row r="1048496" s="30"/>
    <row r="1048497" s="30"/>
    <row r="1048498" s="30"/>
    <row r="1048499" s="30"/>
    <row r="1048500" s="30"/>
    <row r="1048501" s="30"/>
    <row r="1048502" s="30"/>
    <row r="1048503" s="30"/>
    <row r="1048504" s="30"/>
    <row r="1048505" s="30"/>
    <row r="1048506" s="30"/>
    <row r="1048507" s="30"/>
    <row r="1048508" s="30"/>
    <row r="1048509" s="30"/>
    <row r="1048510" s="30"/>
    <row r="1048511" s="30"/>
    <row r="1048512" s="30"/>
    <row r="1048513" s="30"/>
    <row r="1048514" s="30"/>
    <row r="1048515" s="30"/>
    <row r="1048516" s="30"/>
    <row r="1048517" s="30"/>
    <row r="1048518" s="30"/>
    <row r="1048519" s="30"/>
    <row r="1048520" s="30"/>
    <row r="1048521" s="30"/>
    <row r="1048522" s="30"/>
    <row r="1048523" s="30"/>
    <row r="1048524" s="30"/>
    <row r="1048525" s="30"/>
    <row r="1048526" s="30"/>
    <row r="1048527" s="30"/>
    <row r="1048528" s="30"/>
    <row r="1048529" s="30"/>
    <row r="1048530" s="30"/>
    <row r="1048531" s="30"/>
    <row r="1048532" s="30"/>
    <row r="1048533" s="30"/>
    <row r="1048534" s="30"/>
    <row r="1048535" s="30"/>
    <row r="1048536" s="30"/>
    <row r="1048537" s="30"/>
    <row r="1048538" s="30"/>
    <row r="1048539" s="30"/>
    <row r="1048540" s="30"/>
    <row r="1048541" s="30"/>
    <row r="1048542" s="30"/>
    <row r="1048543" s="30"/>
    <row r="1048544" s="30"/>
    <row r="1048545" s="30"/>
    <row r="1048546" s="30"/>
    <row r="1048547" s="30"/>
    <row r="1048548" s="30"/>
    <row r="1048549" s="30"/>
    <row r="1048550" s="30"/>
    <row r="1048551" s="30"/>
    <row r="1048552" s="30"/>
    <row r="1048553" s="30"/>
    <row r="1048554" s="30"/>
    <row r="1048555" s="30"/>
    <row r="1048556" s="30"/>
    <row r="1048557" s="30"/>
    <row r="1048558" s="30"/>
    <row r="1048559" s="30"/>
    <row r="1048560" s="30"/>
    <row r="1048561" s="30"/>
    <row r="1048562" s="30"/>
    <row r="1048563" s="30"/>
    <row r="1048564" s="30"/>
    <row r="1048565" s="30"/>
    <row r="1048566" s="30"/>
    <row r="1048567" s="30"/>
    <row r="1048568" s="30"/>
    <row r="1048569" s="30"/>
    <row r="1048570" s="30"/>
    <row r="1048571" s="30"/>
    <row r="1048572" s="30"/>
    <row r="1048573" s="30"/>
    <row r="1048574" s="30"/>
    <row r="1048575" s="30"/>
    <row r="1048576" s="30"/>
  </sheetData>
  <mergeCells count="2">
    <mergeCell ref="A1:I1"/>
    <mergeCell ref="A16:B16"/>
  </mergeCells>
  <conditionalFormatting sqref="L3">
    <cfRule type="cellIs" priority="2" operator="lessThan" dxfId="0">
      <formula>0</formula>
    </cfRule>
  </conditionalFormatting>
  <conditionalFormatting sqref="M3">
    <cfRule type="cellIs" priority="3" operator="equal" dxfId="0">
      <formula>"融资余额不足"</formula>
    </cfRule>
  </conditionalFormatting>
  <conditionalFormatting sqref="B2:B7 B8:B14 B15 B17:C1048329 D17 D19:D1048329 E17:F1048329 G17:G1048329">
    <cfRule type="duplicateValues" priority="1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2026-01-15T07:07:27Z</dcterms:modified>
  <cp:lastModifiedBy>MyPC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1033-12.2.0.23155</vt:lpwstr>
  </property>
  <property name="ICV" fmtid="{D5CDD505-2E9C-101B-9397-08002B2CF9AE}" pid="3">
    <vt:lpwstr xmlns:vt="http://schemas.openxmlformats.org/officeDocument/2006/docPropsVTypes">E0BF8A1BAB464F7D8FC377204CAFA257_13</vt:lpwstr>
  </property>
</Properties>
</file>